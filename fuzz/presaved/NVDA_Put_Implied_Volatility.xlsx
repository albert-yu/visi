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VDA_Put_IV_Solver" sheetId="1" r:id="rId1"/>
  </sheets>
  <calcPr calcId="124519" fullCalcOnLoad="1"/>
</workbook>
</file>

<file path=xl/sharedStrings.xml><?xml version="1.0" encoding="utf-8"?>
<sst xmlns="http://schemas.openxmlformats.org/spreadsheetml/2006/main" count="134" uniqueCount="90">
  <si>
    <t>NVDA Put Options — Implied Volatility Model (Black-Scholes Solver)</t>
  </si>
  <si>
    <t>Underlying Spot Price (S):</t>
  </si>
  <si>
    <t>Risk-Free Interest Rate (r):</t>
  </si>
  <si>
    <t>Pricing Date:</t>
  </si>
  <si>
    <t>2026-08-12</t>
  </si>
  <si>
    <t>MARKET DATA &amp; COMPUTED IMPLIED VOLATILITY (BLACK-SCHOLES)</t>
  </si>
  <si>
    <t>NEWTON-RAPHSON BLACK-SCHOLES SOLVER ITERATIONS</t>
  </si>
  <si>
    <t>Contract Symbol</t>
  </si>
  <si>
    <t>Expiration Date</t>
  </si>
  <si>
    <t>DTE (Days)</t>
  </si>
  <si>
    <t>T (Years)</t>
  </si>
  <si>
    <t>Strike Price (K)</t>
  </si>
  <si>
    <t>Bid Price</t>
  </si>
  <si>
    <t>Ask Price</t>
  </si>
  <si>
    <t>Market Put Price (P)</t>
  </si>
  <si>
    <t>Computed IV (Excel Formula)</t>
  </si>
  <si>
    <t>Market IV (Ref Feed)</t>
  </si>
  <si>
    <t>Formula Error</t>
  </si>
  <si>
    <t>Put Delta (Δ)</t>
  </si>
  <si>
    <t>Put Vega (ν / 1%)</t>
  </si>
  <si>
    <t>Seed IV (σ0)</t>
  </si>
  <si>
    <t>d1_0</t>
  </si>
  <si>
    <t>d2_0</t>
  </si>
  <si>
    <t>PutPrice_0</t>
  </si>
  <si>
    <t>Vega_0</t>
  </si>
  <si>
    <t>IV_Iter1 (σ1)</t>
  </si>
  <si>
    <t>d1_1</t>
  </si>
  <si>
    <t>d2_1</t>
  </si>
  <si>
    <t>PutPrice_1</t>
  </si>
  <si>
    <t>Vega_1</t>
  </si>
  <si>
    <t>IV_Iter2 (σ2)</t>
  </si>
  <si>
    <t>d1_2</t>
  </si>
  <si>
    <t>d2_2</t>
  </si>
  <si>
    <t>PutPrice_2</t>
  </si>
  <si>
    <t>Vega_2</t>
  </si>
  <si>
    <t>IV_Iter3 (σ3)</t>
  </si>
  <si>
    <t>d1_3</t>
  </si>
  <si>
    <t>Final Computed IV (σ4)</t>
  </si>
  <si>
    <t>NVDA260821P00150000</t>
  </si>
  <si>
    <t>2026-08-21</t>
  </si>
  <si>
    <t>NVDA260821P00160000</t>
  </si>
  <si>
    <t>NVDA260821P00170000</t>
  </si>
  <si>
    <t>NVDA260821P00180000</t>
  </si>
  <si>
    <t>NVDA260821P00190000</t>
  </si>
  <si>
    <t>NVDA260821P00200000</t>
  </si>
  <si>
    <t>NVDA260821P00210000</t>
  </si>
  <si>
    <t>NVDA260821P00215000</t>
  </si>
  <si>
    <t>NVDA260821P00220000</t>
  </si>
  <si>
    <t>NVDA260821P00225000</t>
  </si>
  <si>
    <t>NVDA260821P00230000</t>
  </si>
  <si>
    <t>NVDA260821P00240000</t>
  </si>
  <si>
    <t>NVDA260918P00150000</t>
  </si>
  <si>
    <t>2026-09-18</t>
  </si>
  <si>
    <t>NVDA260918P00160000</t>
  </si>
  <si>
    <t>NVDA260918P00170000</t>
  </si>
  <si>
    <t>NVDA260918P00180000</t>
  </si>
  <si>
    <t>NVDA260918P00190000</t>
  </si>
  <si>
    <t>NVDA260918P00200000</t>
  </si>
  <si>
    <t>NVDA260918P00210000</t>
  </si>
  <si>
    <t>NVDA260918P00215000</t>
  </si>
  <si>
    <t>NVDA260918P00220000</t>
  </si>
  <si>
    <t>NVDA260918P00225000</t>
  </si>
  <si>
    <t>NVDA260918P00230000</t>
  </si>
  <si>
    <t>NVDA260918P00240000</t>
  </si>
  <si>
    <t>NVDA261120P00150000</t>
  </si>
  <si>
    <t>2026-11-20</t>
  </si>
  <si>
    <t>NVDA261120P00160000</t>
  </si>
  <si>
    <t>NVDA261120P00170000</t>
  </si>
  <si>
    <t>NVDA261120P00180000</t>
  </si>
  <si>
    <t>NVDA261120P00190000</t>
  </si>
  <si>
    <t>NVDA261120P00200000</t>
  </si>
  <si>
    <t>NVDA261120P00210000</t>
  </si>
  <si>
    <t>NVDA261120P00215000</t>
  </si>
  <si>
    <t>NVDA261120P00220000</t>
  </si>
  <si>
    <t>NVDA261120P00225000</t>
  </si>
  <si>
    <t>NVDA261120P00230000</t>
  </si>
  <si>
    <t>NVDA261120P00240000</t>
  </si>
  <si>
    <t>NVDA261218P00150000</t>
  </si>
  <si>
    <t>2026-12-18</t>
  </si>
  <si>
    <t>NVDA261218P00160000</t>
  </si>
  <si>
    <t>NVDA261218P00170000</t>
  </si>
  <si>
    <t>NVDA261218P00180000</t>
  </si>
  <si>
    <t>NVDA261218P00190000</t>
  </si>
  <si>
    <t>NVDA261218P00200000</t>
  </si>
  <si>
    <t>NVDA261218P00210000</t>
  </si>
  <si>
    <t>NVDA261218P00215000</t>
  </si>
  <si>
    <t>NVDA261218P00220000</t>
  </si>
  <si>
    <t>NVDA261218P00225000</t>
  </si>
  <si>
    <t>NVDA261218P00230000</t>
  </si>
  <si>
    <t>NVDA261218P00240000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</si>
</sst>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6"/>
  <sheetViews>
    <sheetView tabSelected="1" workbookViewId="0"/>
  </sheetViews>
  <sheetFormatPr defaultRowHeight="15"/>
  <sheetData>
    <row r="1" spans="1:31">
      <c r="A1" t="s">
        <v>0</v>
      </c>
    </row>
    <row r="3" spans="1:31">
      <c r="A3" t="s">
        <v>1</v>
      </c>
      <c r="B3">
        <v>224.09</v>
      </c>
    </row>
    <row r="4" spans="1:31">
      <c r="A4" t="s">
        <v>2</v>
      </c>
      <c r="B4">
        <v>0.045</v>
      </c>
    </row>
    <row r="5" spans="1:31">
      <c r="A5" t="s">
        <v>3</v>
      </c>
      <c r="B5" t="s">
        <v>4</v>
      </c>
    </row>
    <row r="7" spans="1:31">
      <c r="A7" t="s">
        <v>5</v>
      </c>
      <c r="N7" t="s">
        <v>6</v>
      </c>
    </row>
    <row r="8" spans="1:31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V8" t="s">
        <v>28</v>
      </c>
      <c r="W8" t="s">
        <v>29</v>
      </c>
      <c r="X8" t="s">
        <v>30</v>
      </c>
      <c r="Y8" t="s">
        <v>31</v>
      </c>
      <c r="Z8" t="s">
        <v>32</v>
      </c>
      <c r="AA8" t="s">
        <v>33</v>
      </c>
      <c r="AB8" t="s">
        <v>34</v>
      </c>
      <c r="AC8" t="s">
        <v>35</v>
      </c>
      <c r="AD8" t="s">
        <v>36</v>
      </c>
      <c r="AE8" t="s">
        <v>37</v>
      </c>
    </row>
    <row r="9" spans="1:31">
      <c r="A9" t="s">
        <v>38</v>
      </c>
      <c r="B9" t="s">
        <v>39</v>
      </c>
      <c r="C9">
        <f>DATEVALUE(B9)-DATEVALUE(B5)</f>
        <v>9</v>
      </c>
      <c r="D9">
        <f>C9/365.25</f>
        <v>0.024640657084188913</v>
      </c>
      <c r="E9">
        <v>150</v>
      </c>
      <c r="F9">
        <v>0.02</v>
      </c>
      <c r="G9">
        <v>0.03</v>
      </c>
      <c r="H9">
        <f>(F9+G9)/2</f>
        <v>0.025</v>
      </c>
      <c r="I9">
        <f>AE9</f>
        <v>0.4</v>
      </c>
      <c r="J9">
        <v>0.929688203125</v>
      </c>
      <c r="K9">
        <f>ABS(I9-J9)</f>
        <v>0.529688203125</v>
      </c>
      <c r="L9">
        <f>-_xlfn.NORM.S.DIST(-AD9, TRUE)</f>
        <v>-0.0000000000589335074919311</v>
      </c>
      <c r="M9">
        <f>B3 * SQRT(D9) * _xlfn.NORM.S.DIST(AD9, FALSE) / 100</f>
        <v>0.0000000001366262327097713</v>
      </c>
      <c r="N9">
        <v>0.4</v>
      </c>
      <c r="O9">
        <f>(LN(B3/E9) + (B4 + 0.5 * N9 * N9) * D9) / (N9 * SQRT(D9))</f>
        <v>6.44205440025605</v>
      </c>
      <c r="P9">
        <f>O9 - N9 * SQRT(D9)</f>
        <v>6.379265029073737</v>
      </c>
      <c r="Q9">
        <f>E9 * EXP(-B4 * D9) * _xlfn.NORM.S.DIST(-P9, TRUE) - B3 * _xlfn.NORM.S.DIST(-O9, TRUE)</f>
        <v>0.00000000012429074410546383</v>
      </c>
      <c r="R9">
        <f>B3 * SQRT(D9) * _xlfn.NORM.S.DIST(O9, FALSE)</f>
        <v>0.000000013662623270977128</v>
      </c>
      <c r="S9">
        <f>IF(R9 &gt; 0.00001, MAX(0.001, N9 - (Q9 - H9) / R9), N9)</f>
        <v>0.4</v>
      </c>
      <c r="T9">
        <f>(LN(B3/E9) + (B4 + 0.5 * S9 * S9) * D9) / (S9 * SQRT(D9))</f>
        <v>6.44205440025605</v>
      </c>
      <c r="U9">
        <f>T9 - S9 * SQRT(D9)</f>
        <v>6.379265029073737</v>
      </c>
      <c r="V9">
        <f>E9 * EXP(-B4 * D9) * _xlfn.NORM.S.DIST(-U9, TRUE) - B3 * _xlfn.NORM.S.DIST(-T9, TRUE)</f>
        <v>0.00000000012429074410546383</v>
      </c>
      <c r="W9">
        <f>B3 * SQRT(D9) * _xlfn.NORM.S.DIST(T9, FALSE)</f>
        <v>0.000000013662623270977128</v>
      </c>
      <c r="X9">
        <f>IF(W9 &gt; 0.00001, MAX(0.001, S9 - (V9 - H9) / W9), S9)</f>
        <v>0.4</v>
      </c>
      <c r="Y9">
        <f>(LN(B3/E9) + (B4 + 0.5 * X9 * X9) * D9) / (X9 * SQRT(D9))</f>
        <v>6.44205440025605</v>
      </c>
      <c r="Z9">
        <f>Y9 - X9 * SQRT(D9)</f>
        <v>6.379265029073737</v>
      </c>
      <c r="AA9">
        <f>E9 * EXP(-B4 * D9) * _xlfn.NORM.S.DIST(-Z9, TRUE) - B3 * _xlfn.NORM.S.DIST(-Y9, TRUE)</f>
        <v>0.00000000012429074410546383</v>
      </c>
      <c r="AB9">
        <f>B3 * SQRT(D9) * _xlfn.NORM.S.DIST(Y9, FALSE)</f>
        <v>0.000000013662623270977128</v>
      </c>
      <c r="AC9">
        <f>IF(AB9 &gt; 0.00001, MAX(0.001, X9 - (AA9 - H9) / AB9), X9)</f>
        <v>0.4</v>
      </c>
      <c r="AD9">
        <f>(LN(B3/E9) + (B4 + 0.5 * AC9 * AC9) * D9) / (AC9 * SQRT(D9))</f>
        <v>6.44205440025605</v>
      </c>
      <c r="AE9">
        <f>IF(AB9 &gt; 0.00001, MAX(0.001, AC9 - ((E9 * EXP(-B4 * D9) * _xlfn.NORM.S.DIST(-(AD9 - AC9 * SQRT(D9)), TRUE) - B3 * _xlfn.NORM.S.DIST(-AD9, TRUE)) - H9) / (B3 * SQRT(D9) * _xlfn.NORM.S.DIST(AD9, FALSE))), AC9)</f>
        <v>0.4</v>
      </c>
    </row>
    <row r="10" spans="1:31">
      <c r="A10" t="s">
        <v>40</v>
      </c>
      <c r="B10" t="s">
        <v>39</v>
      </c>
      <c r="C10">
        <f>DATEVALUE(B10)-DATEVALUE(B5)</f>
        <v>9</v>
      </c>
      <c r="D10">
        <f>C10/365.25</f>
        <v>0.024640657084188913</v>
      </c>
      <c r="E10">
        <v>160</v>
      </c>
      <c r="F10">
        <v>0.03</v>
      </c>
      <c r="G10">
        <v>0.04</v>
      </c>
      <c r="H10">
        <f>(F10+G10)/2</f>
        <v>0.035</v>
      </c>
      <c r="I10">
        <f>AE10</f>
        <v>0.4</v>
      </c>
      <c r="J10">
        <v>0.8242205078124999</v>
      </c>
      <c r="K10">
        <f>ABS(I10-J10)</f>
        <v>0.42422050781249987</v>
      </c>
      <c r="L10">
        <f>-_xlfn.NORM.S.DIST(-AD10, TRUE)</f>
        <v>-0.000000030782182125982885</v>
      </c>
      <c r="M10">
        <f>B3 * SQRT(D10) * _xlfn.NORM.S.DIST(AD10, FALSE) / 100</f>
        <v>0.00000006050715808971882</v>
      </c>
      <c r="N10">
        <v>0.4</v>
      </c>
      <c r="O10">
        <f>(LN(B3/E10) + (B4 + 0.5 * N10 * N10) * D10) / (N10 * SQRT(D10))</f>
        <v>5.41419697913011</v>
      </c>
      <c r="P10">
        <f>O10 - N10 * SQRT(D10)</f>
        <v>5.351407607947797</v>
      </c>
      <c r="Q10">
        <f>E10 * EXP(-B4 * D10) * _xlfn.NORM.S.DIST(-P10, TRUE) - B3 * _xlfn.NORM.S.DIST(-O10, TRUE)</f>
        <v>0.00000007609891414669433</v>
      </c>
      <c r="R10">
        <f>B3 * SQRT(D10) * _xlfn.NORM.S.DIST(O10, FALSE)</f>
        <v>0.0000060507158089718815</v>
      </c>
      <c r="S10">
        <f>IF(R10 &gt; 0.00001, MAX(0.001, N10 - (Q10 - H10) / R10), N10)</f>
        <v>0.4</v>
      </c>
      <c r="T10">
        <f>(LN(B3/E10) + (B4 + 0.5 * S10 * S10) * D10) / (S10 * SQRT(D10))</f>
        <v>5.41419697913011</v>
      </c>
      <c r="U10">
        <f>T10 - S10 * SQRT(D10)</f>
        <v>5.351407607947797</v>
      </c>
      <c r="V10">
        <f>E10 * EXP(-B4 * D10) * _xlfn.NORM.S.DIST(-U10, TRUE) - B3 * _xlfn.NORM.S.DIST(-T10, TRUE)</f>
        <v>0.00000007609891414669433</v>
      </c>
      <c r="W10">
        <f>B3 * SQRT(D10) * _xlfn.NORM.S.DIST(T10, FALSE)</f>
        <v>0.0000060507158089718815</v>
      </c>
      <c r="X10">
        <f>IF(W10 &gt; 0.00001, MAX(0.001, S10 - (V10 - H10) / W10), S10)</f>
        <v>0.4</v>
      </c>
      <c r="Y10">
        <f>(LN(B3/E10) + (B4 + 0.5 * X10 * X10) * D10) / (X10 * SQRT(D10))</f>
        <v>5.41419697913011</v>
      </c>
      <c r="Z10">
        <f>Y10 - X10 * SQRT(D10)</f>
        <v>5.351407607947797</v>
      </c>
      <c r="AA10">
        <f>E10 * EXP(-B4 * D10) * _xlfn.NORM.S.DIST(-Z10, TRUE) - B3 * _xlfn.NORM.S.DIST(-Y10, TRUE)</f>
        <v>0.00000007609891414669433</v>
      </c>
      <c r="AB10">
        <f>B3 * SQRT(D10) * _xlfn.NORM.S.DIST(Y10, FALSE)</f>
        <v>0.0000060507158089718815</v>
      </c>
      <c r="AC10">
        <f>IF(AB10 &gt; 0.00001, MAX(0.001, X10 - (AA10 - H10) / AB10), X10)</f>
        <v>0.4</v>
      </c>
      <c r="AD10">
        <f>(LN(B3/E10) + (B4 + 0.5 * AC10 * AC10) * D10) / (AC10 * SQRT(D10))</f>
        <v>5.41419697913011</v>
      </c>
      <c r="AE10">
        <f>IF(AB10 &gt; 0.00001, MAX(0.001, AC10 - ((E10 * EXP(-B4 * D10) * _xlfn.NORM.S.DIST(-(AD10 - AC10 * SQRT(D10)), TRUE) - B3 * _xlfn.NORM.S.DIST(-AD10, TRUE)) - H10) / (B3 * SQRT(D10) * _xlfn.NORM.S.DIST(AD10, FALSE))), AC10)</f>
        <v>0.4</v>
      </c>
    </row>
    <row r="11" spans="1:31">
      <c r="A11" t="s">
        <v>41</v>
      </c>
      <c r="B11" t="s">
        <v>39</v>
      </c>
      <c r="C11">
        <f>DATEVALUE(B11)-DATEVALUE(B5)</f>
        <v>9</v>
      </c>
      <c r="D11">
        <f>C11/365.25</f>
        <v>0.024640657084188913</v>
      </c>
      <c r="E11">
        <v>170</v>
      </c>
      <c r="F11">
        <v>0.04</v>
      </c>
      <c r="G11">
        <v>0.05</v>
      </c>
      <c r="H11">
        <f>(F11+G11)/2</f>
        <v>0.045</v>
      </c>
      <c r="I11">
        <f>AE11</f>
        <v>0.001</v>
      </c>
      <c r="J11">
        <v>0.7070341796875</v>
      </c>
      <c r="K11">
        <f>ABS(I11-J11)</f>
        <v>0.7060341796875</v>
      </c>
      <c r="L11">
        <f>-_xlfn.NORM.S.DIST(-AD11, TRUE)</f>
        <v>-0</v>
      </c>
      <c r="M11">
        <f>B3 * SQRT(D11) * _xlfn.NORM.S.DIST(AD11, FALSE) / 100</f>
        <v>0</v>
      </c>
      <c r="N11">
        <v>0.4</v>
      </c>
      <c r="O11">
        <f>(LN(B3/E11) + (B4 + 0.5 * N11 * N11) * D11) / (N11 * SQRT(D11))</f>
        <v>4.448673345513718</v>
      </c>
      <c r="P11">
        <f>O11 - N11 * SQRT(D11)</f>
        <v>4.3858839743314055</v>
      </c>
      <c r="Q11">
        <f>E11 * EXP(-B4 * D11) * _xlfn.NORM.S.DIST(-P11, TRUE) - B3 * _xlfn.NORM.S.DIST(-O11, TRUE)</f>
        <v>0.000012700607557762926</v>
      </c>
      <c r="R11">
        <f>B3 * SQRT(D11) * _xlfn.NORM.S.DIST(O11, FALSE)</f>
        <v>0.0007073982319789089</v>
      </c>
      <c r="S11">
        <f>IF(R11 &gt; 0.00001, MAX(0.001, N11 - (Q11 - H11) / R11), N11)</f>
        <v>63.99543657126857</v>
      </c>
      <c r="T11">
        <f>(LN(B3/E11) + (B4 + 0.5 * S11 * S11) * D11) / (S11 * SQRT(D11))</f>
        <v>5.050401486372768</v>
      </c>
      <c r="U11">
        <f>T11 - S11 * SQRT(D11)</f>
        <v>-4.99518156574604</v>
      </c>
      <c r="V11">
        <f>E11 * EXP(-B4 * D11) * _xlfn.NORM.S.DIST(-U11, TRUE) - B3 * _xlfn.NORM.S.DIST(-T11, TRUE)</f>
        <v>169.81150413576987</v>
      </c>
      <c r="W11">
        <f>B3 * SQRT(D11) * _xlfn.NORM.S.DIST(T11, FALSE)</f>
        <v>0.000040595753121156327</v>
      </c>
      <c r="X11">
        <f>IF(W11 &gt; 0.00001, MAX(0.001, S11 - (V11 - H11) / W11), S11)</f>
        <v>0.001</v>
      </c>
      <c r="Y11">
        <f>(LN(B3/E11) + (B4 + 0.5 * X11 * X11) * D11) / (X11 * SQRT(D11))</f>
        <v>1766.9115424557383</v>
      </c>
      <c r="Z11">
        <f>Y11 - X11 * SQRT(D11)</f>
        <v>1766.9113854823104</v>
      </c>
      <c r="AA11">
        <f>E11 * EXP(-B4 * D11) * _xlfn.NORM.S.DIST(-Z11, TRUE) - B3 * _xlfn.NORM.S.DIST(-Y11, TRUE)</f>
        <v>0</v>
      </c>
      <c r="AB11">
        <f>B3 * SQRT(D11) * _xlfn.NORM.S.DIST(Y11, FALSE)</f>
        <v>0</v>
      </c>
      <c r="AC11">
        <f>IF(AB11 &gt; 0.00001, MAX(0.001, X11 - (AA11 - H11) / AB11), X11)</f>
        <v>0.001</v>
      </c>
      <c r="AD11">
        <f>(LN(B3/E11) + (B4 + 0.5 * AC11 * AC11) * D11) / (AC11 * SQRT(D11))</f>
        <v>1766.9115424557383</v>
      </c>
      <c r="AE11">
        <f>IF(AB11 &gt; 0.00001, MAX(0.001, AC11 - ((E11 * EXP(-B4 * D11) * _xlfn.NORM.S.DIST(-(AD11 - AC11 * SQRT(D11)), TRUE) - B3 * _xlfn.NORM.S.DIST(-AD11, TRUE)) - H11) / (B3 * SQRT(D11) * _xlfn.NORM.S.DIST(AD11, FALSE))), AC11)</f>
        <v>0.001</v>
      </c>
    </row>
    <row r="12" spans="1:31">
      <c r="A12" t="s">
        <v>42</v>
      </c>
      <c r="B12" t="s">
        <v>39</v>
      </c>
      <c r="C12">
        <f>DATEVALUE(B12)-DATEVALUE(B5)</f>
        <v>9</v>
      </c>
      <c r="D12">
        <f>C12/365.25</f>
        <v>0.024640657084188913</v>
      </c>
      <c r="E12">
        <v>180</v>
      </c>
      <c r="F12">
        <v>0.08</v>
      </c>
      <c r="G12">
        <v>0.09</v>
      </c>
      <c r="H12">
        <f>(F12+G12)/2</f>
        <v>0.08499999999999999</v>
      </c>
      <c r="I12">
        <f>AE12</f>
        <v>0.7217774323149464</v>
      </c>
      <c r="J12">
        <v>0.62305064453125</v>
      </c>
      <c r="K12">
        <f>ABS(I12-J12)</f>
        <v>0.09872678778369637</v>
      </c>
      <c r="L12">
        <f>-_xlfn.NORM.S.DIST(-AD12, TRUE)</f>
        <v>-0.04925208085481676</v>
      </c>
      <c r="M12">
        <f>B3 * SQRT(D12) * _xlfn.NORM.S.DIST(AD12, FALSE) / 100</f>
        <v>0.0358454726024106</v>
      </c>
      <c r="N12">
        <v>0.4</v>
      </c>
      <c r="O12">
        <f>(LN(B3/E12) + (B4 + 0.5 * N12 * N12) * D12) / (N12 * SQRT(D12))</f>
        <v>3.5383534495876083</v>
      </c>
      <c r="P12">
        <f>O12 - N12 * SQRT(D12)</f>
        <v>3.475564078405296</v>
      </c>
      <c r="Q12">
        <f>E12 * EXP(-B4 * D12) * _xlfn.NORM.S.DIST(-P12, TRUE) - B3 * _xlfn.NORM.S.DIST(-O12, TRUE)</f>
        <v>0.0007166137202607656</v>
      </c>
      <c r="R12">
        <f>B3 * SQRT(D12) * _xlfn.NORM.S.DIST(O12, FALSE)</f>
        <v>0.02682175196771171</v>
      </c>
      <c r="S12">
        <f>IF(R12 &gt; 0.00001, MAX(0.001, N12 - (Q12 - H12) / R12), N12)</f>
        <v>3.5423520126947854</v>
      </c>
      <c r="T12">
        <f>(LN(B3/E12) + (B4 + 0.5 * S12 * S12) * D12) / (S12 * SQRT(D12))</f>
        <v>0.6740309874586826</v>
      </c>
      <c r="U12">
        <f>T12 - S12 * SQRT(D12)</f>
        <v>0.11797584899992031</v>
      </c>
      <c r="V12">
        <f>E12 * EXP(-B4 * D12) * _xlfn.NORM.S.DIST(-U12, TRUE) - B3 * _xlfn.NORM.S.DIST(-T12, TRUE)</f>
        <v>25.402265140704344</v>
      </c>
      <c r="W12">
        <f>B3 * SQRT(D12) * _xlfn.NORM.S.DIST(T12, FALSE)</f>
        <v>11.181622707697613</v>
      </c>
      <c r="X12">
        <f>IF(W12 &gt; 0.00001, MAX(0.001, S12 - (V12 - H12) / W12), S12)</f>
        <v>1.2781667685194904</v>
      </c>
      <c r="Y12">
        <f>(LN(B3/E12) + (B4 + 0.5 * X12 * X12) * D12) / (X12 * SQRT(D12))</f>
        <v>1.197815571031105</v>
      </c>
      <c r="Z12">
        <f>Y12 - X12 * SQRT(D12)</f>
        <v>0.9971773518774367</v>
      </c>
      <c r="AA12">
        <f>E12 * EXP(-B4 * D12) * _xlfn.NORM.S.DIST(-Z12, TRUE) - B3 * _xlfn.NORM.S.DIST(-Y12, TRUE)</f>
        <v>2.7681313325965746</v>
      </c>
      <c r="AB12">
        <f>B3 * SQRT(D12) * _xlfn.NORM.S.DIST(Y12, FALSE)</f>
        <v>6.848635366926475</v>
      </c>
      <c r="AC12">
        <f>IF(AB12 &gt; 0.00001, MAX(0.001, X12 - (AA12 - H12) / AB12), X12)</f>
        <v>0.8863907155040255</v>
      </c>
      <c r="AD12">
        <f>(LN(B3/E12) + (B4 + 0.5 * AC12 * AC12) * D12) / (AC12 * SQRT(D12))</f>
        <v>1.6521490902381666</v>
      </c>
      <c r="AE12">
        <f>IF(AB12 &gt; 0.00001, MAX(0.001, AC12 - ((E12 * EXP(-B4 * D12) * _xlfn.NORM.S.DIST(-(AD12 - AC12 * SQRT(D12)), TRUE) - B3 * _xlfn.NORM.S.DIST(-AD12, TRUE)) - H12) / (B3 * SQRT(D12) * _xlfn.NORM.S.DIST(AD12, FALSE))), AC12)</f>
        <v>0.7217774323149464</v>
      </c>
    </row>
    <row r="13" spans="1:31">
      <c r="A13" t="s">
        <v>43</v>
      </c>
      <c r="B13" t="s">
        <v>39</v>
      </c>
      <c r="C13">
        <f>DATEVALUE(B13)-DATEVALUE(B5)</f>
        <v>9</v>
      </c>
      <c r="D13">
        <f>C13/365.25</f>
        <v>0.024640657084188913</v>
      </c>
      <c r="E13">
        <v>190</v>
      </c>
      <c r="F13">
        <v>0.15</v>
      </c>
      <c r="G13">
        <v>0.16</v>
      </c>
      <c r="H13">
        <f>(F13+G13)/2</f>
        <v>0.155</v>
      </c>
      <c r="I13">
        <f>AE13</f>
        <v>0.5350578991029815</v>
      </c>
      <c r="J13">
        <v>0.5312546875</v>
      </c>
      <c r="K13">
        <f>ABS(I13-J13)</f>
        <v>0.003803211602981471</v>
      </c>
      <c r="L13">
        <f>-_xlfn.NORM.S.DIST(-AD13, TRUE)</f>
        <v>-0.02384638681508542</v>
      </c>
      <c r="M13">
        <f>B3 * SQRT(D13) * _xlfn.NORM.S.DIST(AD13, FALSE) / 100</f>
        <v>0.01975933510637588</v>
      </c>
      <c r="N13">
        <v>0.4</v>
      </c>
      <c r="O13">
        <f>(LN(B3/E13) + (B4 + 0.5 * N13 * N13) * D13) / (N13 * SQRT(D13))</f>
        <v>2.6772646975870757</v>
      </c>
      <c r="P13">
        <f>O13 - N13 * SQRT(D13)</f>
        <v>2.6144753264047633</v>
      </c>
      <c r="Q13">
        <f>E13 * EXP(-B4 * D13) * _xlfn.NORM.S.DIST(-P13, TRUE) - B3 * _xlfn.NORM.S.DIST(-O13, TRUE)</f>
        <v>0.016358139143866968</v>
      </c>
      <c r="R13">
        <f>B3 * SQRT(D13) * _xlfn.NORM.S.DIST(O13, FALSE)</f>
        <v>0.38967483522873014</v>
      </c>
      <c r="S13">
        <f>IF(R13 &gt; 0.00001, MAX(0.001, N13 - (Q13 - H13) / R13), N13)</f>
        <v>0.7557885917235416</v>
      </c>
      <c r="T13">
        <f>(LN(B3/E13) + (B4 + 0.5 * S13 * S13) * D13) / (S13 * SQRT(D13))</f>
        <v>1.4596421733837537</v>
      </c>
      <c r="U13">
        <f>T13 - S13 * SQRT(D13)</f>
        <v>1.3410034473310368</v>
      </c>
      <c r="V13">
        <f>E13 * EXP(-B4 * D13) * _xlfn.NORM.S.DIST(-U13, TRUE) - B3 * _xlfn.NORM.S.DIST(-T13, TRUE)</f>
        <v>0.8953916749775424</v>
      </c>
      <c r="W13">
        <f>B3 * SQRT(D13) * _xlfn.NORM.S.DIST(T13, FALSE)</f>
        <v>4.8363139493357465</v>
      </c>
      <c r="X13">
        <f>IF(W13 &gt; 0.00001, MAX(0.001, S13 - (V13 - H13) / W13), S13)</f>
        <v>0.6026985147075049</v>
      </c>
      <c r="Y13">
        <f>(LN(B3/E13) + (B4 + 0.5 * X13 * X13) * D13) / (X13 * SQRT(D13))</f>
        <v>1.8033194439828601</v>
      </c>
      <c r="Z13">
        <f>Y13 - X13 * SQRT(D13)</f>
        <v>1.7087117921053652</v>
      </c>
      <c r="AA13">
        <f>E13 * EXP(-B4 * D13) * _xlfn.NORM.S.DIST(-Z13, TRUE) - B3 * _xlfn.NORM.S.DIST(-Y13, TRUE)</f>
        <v>0.310627623271829</v>
      </c>
      <c r="AB13">
        <f>B3 * SQRT(D13) * _xlfn.NORM.S.DIST(Y13, FALSE)</f>
        <v>2.760605330978896</v>
      </c>
      <c r="AC13">
        <f>IF(AB13 &gt; 0.00001, MAX(0.001, X13 - (AA13 - H13) / AB13), X13)</f>
        <v>0.5463240588860188</v>
      </c>
      <c r="AD13">
        <f>(LN(B3/E13) + (B4 + 0.5 * AC13 * AC13) * D13) / (AC13 * SQRT(D13))</f>
        <v>1.9800957233054655</v>
      </c>
      <c r="AE13">
        <f>IF(AB13 &gt; 0.00001, MAX(0.001, AC13 - ((E13 * EXP(-B4 * D13) * _xlfn.NORM.S.DIST(-(AD13 - AC13 * SQRT(D13)), TRUE) - B3 * _xlfn.NORM.S.DIST(-AD13, TRUE)) - H13) / (B3 * SQRT(D13) * _xlfn.NORM.S.DIST(AD13, FALSE))), AC13)</f>
        <v>0.5350578991029815</v>
      </c>
    </row>
    <row r="14" spans="1:31">
      <c r="A14" t="s">
        <v>44</v>
      </c>
      <c r="B14" t="s">
        <v>39</v>
      </c>
      <c r="C14">
        <f>DATEVALUE(B14)-DATEVALUE(B5)</f>
        <v>9</v>
      </c>
      <c r="D14">
        <f>C14/365.25</f>
        <v>0.024640657084188913</v>
      </c>
      <c r="E14">
        <v>200</v>
      </c>
      <c r="F14">
        <v>0.27</v>
      </c>
      <c r="G14">
        <v>0.28</v>
      </c>
      <c r="H14">
        <f>(F14+G14)/2</f>
        <v>0.275</v>
      </c>
      <c r="I14">
        <f>AE14</f>
        <v>0.4346760145825439</v>
      </c>
      <c r="J14">
        <v>0.432622861328125</v>
      </c>
      <c r="K14">
        <f>ABS(I14-J14)</f>
        <v>0.0020531532544189046</v>
      </c>
      <c r="L14">
        <f>-_xlfn.NORM.S.DIST(-AD14, TRUE)</f>
        <v>-0.042973909261254106</v>
      </c>
      <c r="M14">
        <f>B3 * SQRT(D14) * _xlfn.NORM.S.DIST(AD14, FALSE) / 100</f>
        <v>0.03212634423703143</v>
      </c>
      <c r="N14">
        <v>0.4</v>
      </c>
      <c r="O14">
        <f>(LN(B3/E14) + (B4 + 0.5 * N14 * N14) * D14) / (N14 * SQRT(D14))</f>
        <v>1.8603542329382499</v>
      </c>
      <c r="P14">
        <f>O14 - N14 * SQRT(D14)</f>
        <v>1.7975648617559372</v>
      </c>
      <c r="Q14">
        <f>E14 * EXP(-B4 * D14) * _xlfn.NORM.S.DIST(-P14, TRUE) - B3 * _xlfn.NORM.S.DIST(-O14, TRUE)</f>
        <v>0.17619744888064037</v>
      </c>
      <c r="R14">
        <f>B3 * SQRT(D14) * _xlfn.NORM.S.DIST(O14, FALSE)</f>
        <v>2.4867373523397833</v>
      </c>
      <c r="S14">
        <f>IF(R14 &gt; 0.00001, MAX(0.001, N14 - (Q14 - H14) / R14), N14)</f>
        <v>0.43973179999343154</v>
      </c>
      <c r="T14">
        <f>(LN(B3/E14) + (B4 + 0.5 * S14 * S14) * D14) / (S14 * SQRT(D14))</f>
        <v>1.6982177052035325</v>
      </c>
      <c r="U14">
        <f>T14 - S14 * SQRT(D14)</f>
        <v>1.6291914971773975</v>
      </c>
      <c r="V14">
        <f>E14 * EXP(-B4 * D14) * _xlfn.NORM.S.DIST(-U14, TRUE) - B3 * _xlfn.NORM.S.DIST(-T14, TRUE)</f>
        <v>0.29150965674858753</v>
      </c>
      <c r="W14">
        <f>B3 * SQRT(D14) * _xlfn.NORM.S.DIST(T14, FALSE)</f>
        <v>3.318320561231174</v>
      </c>
      <c r="X14">
        <f>IF(W14 &gt; 0.00001, MAX(0.001, S14 - (V14 - H14) / W14), S14)</f>
        <v>0.4347564950330024</v>
      </c>
      <c r="Y14">
        <f>(LN(B3/E14) + (B4 + 0.5 * X14 * X14) * D14) / (X14 * SQRT(D14))</f>
        <v>1.716866460227122</v>
      </c>
      <c r="Z14">
        <f>Y14 - X14 * SQRT(D14)</f>
        <v>1.648621242875751</v>
      </c>
      <c r="AA14">
        <f>E14 * EXP(-B4 * D14) * _xlfn.NORM.S.DIST(-Z14, TRUE) - B3 * _xlfn.NORM.S.DIST(-Y14, TRUE)</f>
        <v>0.2752586220036157</v>
      </c>
      <c r="AB14">
        <f>B3 * SQRT(D14) * _xlfn.NORM.S.DIST(Y14, FALSE)</f>
        <v>3.2143181971907886</v>
      </c>
      <c r="AC14">
        <f>IF(AB14 &gt; 0.00001, MAX(0.001, X14 - (AA14 - H14) / AB14), X14)</f>
        <v>0.4346760356672054</v>
      </c>
      <c r="AD14">
        <f>(LN(B3/E14) + (B4 + 0.5 * AC14 * AC14) * D14) / (AC14 * SQRT(D14))</f>
        <v>1.717171624342134</v>
      </c>
      <c r="AE14">
        <f>IF(AB14 &gt; 0.00001, MAX(0.001, AC14 - ((E14 * EXP(-B4 * D14) * _xlfn.NORM.S.DIST(-(AD14 - AC14 * SQRT(D14)), TRUE) - B3 * _xlfn.NORM.S.DIST(-AD14, TRUE)) - H14) / (B3 * SQRT(D14) * _xlfn.NORM.S.DIST(AD14, FALSE))), AC14)</f>
        <v>0.4346760145825439</v>
      </c>
    </row>
    <row r="15" spans="1:31">
      <c r="A15" t="s">
        <v>45</v>
      </c>
      <c r="B15" t="s">
        <v>39</v>
      </c>
      <c r="C15">
        <f>DATEVALUE(B15)-DATEVALUE(B5)</f>
        <v>9</v>
      </c>
      <c r="D15">
        <f>C15/365.25</f>
        <v>0.024640657084188913</v>
      </c>
      <c r="E15">
        <v>210</v>
      </c>
      <c r="F15">
        <v>0.75</v>
      </c>
      <c r="G15">
        <v>0.78</v>
      </c>
      <c r="H15">
        <f>(F15+G15)/2</f>
        <v>0.765</v>
      </c>
      <c r="I15">
        <f>AE15</f>
        <v>0.3647220268586652</v>
      </c>
      <c r="J15">
        <v>0.362311064453125</v>
      </c>
      <c r="K15">
        <f>ABS(I15-J15)</f>
        <v>0.002410962405540229</v>
      </c>
      <c r="L15">
        <f>-_xlfn.NORM.S.DIST(-AD15, TRUE)</f>
        <v>-0.11854581364381692</v>
      </c>
      <c r="M15">
        <f>B3 * SQRT(D15) * _xlfn.NORM.S.DIST(AD15, FALSE) / 100</f>
        <v>0.06976368936397344</v>
      </c>
      <c r="N15">
        <v>0.4</v>
      </c>
      <c r="O15">
        <f>(LN(B3/E15) + (B4 + 0.5 * N15 * N15) * D15) / (N15 * SQRT(D15))</f>
        <v>1.0833092769095156</v>
      </c>
      <c r="P15">
        <f>O15 - N15 * SQRT(D15)</f>
        <v>1.020519905727203</v>
      </c>
      <c r="Q15">
        <f>E15 * EXP(-B4 * D15) * _xlfn.NORM.S.DIST(-P15, TRUE) - B3 * _xlfn.NORM.S.DIST(-O15, TRUE)</f>
        <v>1.0261146070714524</v>
      </c>
      <c r="R15">
        <f>B3 * SQRT(D15) * _xlfn.NORM.S.DIST(O15, FALSE)</f>
        <v>7.804113701542782</v>
      </c>
      <c r="S15">
        <f>IF(R15 &gt; 0.00001, MAX(0.001, N15 - (Q15 - H15) / R15), N15)</f>
        <v>0.36654141430309595</v>
      </c>
      <c r="T15">
        <f>(LN(B3/E15) + (B4 + 0.5 * S15 * S15) * D15) / (S15 * SQRT(D15))</f>
        <v>1.1767039533445736</v>
      </c>
      <c r="U15">
        <f>T15 - S15 * SQRT(D15)</f>
        <v>1.1191666910536562</v>
      </c>
      <c r="V15">
        <f>E15 * EXP(-B4 * D15) * _xlfn.NORM.S.DIST(-U15, TRUE) - B3 * _xlfn.NORM.S.DIST(-T15, TRUE)</f>
        <v>0.7777347103403862</v>
      </c>
      <c r="W15">
        <f>B3 * SQRT(D15) * _xlfn.NORM.S.DIST(T15, FALSE)</f>
        <v>7.0224656608908145</v>
      </c>
      <c r="X15">
        <f>IF(W15 &gt; 0.00001, MAX(0.001, S15 - (V15 - H15) / W15), S15)</f>
        <v>0.36472798993687827</v>
      </c>
      <c r="Y15">
        <f>(LN(B3/E15) + (B4 + 0.5 * X15 * X15) * D15) / (X15 * SQRT(D15))</f>
        <v>1.182269147976191</v>
      </c>
      <c r="Z15">
        <f>Y15 - X15 * SQRT(D15)</f>
        <v>1.1250165451243777</v>
      </c>
      <c r="AA15">
        <f>E15 * EXP(-B4 * D15) * _xlfn.NORM.S.DIST(-Z15, TRUE) - B3 * _xlfn.NORM.S.DIST(-Y15, TRUE)</f>
        <v>0.7650416010859296</v>
      </c>
      <c r="AB15">
        <f>B3 * SQRT(D15) * _xlfn.NORM.S.DIST(Y15, FALSE)</f>
        <v>6.976520647294802</v>
      </c>
      <c r="AC15">
        <f>IF(AB15 &gt; 0.00001, MAX(0.001, X15 - (AA15 - H15) / AB15), X15)</f>
        <v>0.3647220269235035</v>
      </c>
      <c r="AD15">
        <f>(LN(B3/E15) + (B4 + 0.5 * AC15 * AC15) * D15) / (AC15 * SQRT(D15))</f>
        <v>1.1822875414128389</v>
      </c>
      <c r="AE15">
        <f>IF(AB15 &gt; 0.00001, MAX(0.001, AC15 - ((E15 * EXP(-B4 * D15) * _xlfn.NORM.S.DIST(-(AD15 - AC15 * SQRT(D15)), TRUE) - B3 * _xlfn.NORM.S.DIST(-AD15, TRUE)) - H15) / (B3 * SQRT(D15) * _xlfn.NORM.S.DIST(AD15, FALSE))), AC15)</f>
        <v>0.3647220268586652</v>
      </c>
    </row>
    <row r="16" spans="1:31">
      <c r="A16" t="s">
        <v>46</v>
      </c>
      <c r="B16" t="s">
        <v>39</v>
      </c>
      <c r="C16">
        <f>DATEVALUE(B16)-DATEVALUE(B5)</f>
        <v>9</v>
      </c>
      <c r="D16">
        <f>C16/365.25</f>
        <v>0.024640657084188913</v>
      </c>
      <c r="E16">
        <v>215</v>
      </c>
      <c r="F16">
        <v>1.47</v>
      </c>
      <c r="G16">
        <v>1.5</v>
      </c>
      <c r="H16">
        <f>(F16+G16)/2</f>
        <v>1.4849999999999999</v>
      </c>
      <c r="I16">
        <f>AE16</f>
        <v>0.3469138706730686</v>
      </c>
      <c r="J16">
        <v>0.3430241479492187</v>
      </c>
      <c r="K16">
        <f>ABS(I16-J16)</f>
        <v>0.003889722723849909</v>
      </c>
      <c r="L16">
        <f>-_xlfn.NORM.S.DIST(-AD16, TRUE)</f>
        <v>-0.20954189376495252</v>
      </c>
      <c r="M16">
        <f>B3 * SQRT(D16) * _xlfn.NORM.S.DIST(AD16, FALSE) / 100</f>
        <v>0.10124811039852259</v>
      </c>
      <c r="N16">
        <v>0.4</v>
      </c>
      <c r="O16">
        <f>(LN(B3/E16) + (B4 + 0.5 * N16 * N16) * D16) / (N16 * SQRT(D16))</f>
        <v>0.7085564012695917</v>
      </c>
      <c r="P16">
        <f>O16 - N16 * SQRT(D16)</f>
        <v>0.6457670300872792</v>
      </c>
      <c r="Q16">
        <f>E16 * EXP(-B4 * D16) * _xlfn.NORM.S.DIST(-P16, TRUE) - B3 * _xlfn.NORM.S.DIST(-O16, TRUE)</f>
        <v>2.044774314679678</v>
      </c>
      <c r="R16">
        <f>B3 * SQRT(D16) * _xlfn.NORM.S.DIST(O16, FALSE)</f>
        <v>10.917908253958212</v>
      </c>
      <c r="S16">
        <f>IF(R16 &gt; 0.00001, MAX(0.001, N16 - (Q16 - H16) / R16), N16)</f>
        <v>0.34872879477836466</v>
      </c>
      <c r="T16">
        <f>(LN(B3/E16) + (B4 + 0.5 * S16 * S16) * D16) / (S16 * SQRT(D16))</f>
        <v>0.8040907400234553</v>
      </c>
      <c r="U16">
        <f>T16 - S16 * SQRT(D16)</f>
        <v>0.7493495856802072</v>
      </c>
      <c r="V16">
        <f>E16 * EXP(-B4 * D16) * _xlfn.NORM.S.DIST(-U16, TRUE) - B3 * _xlfn.NORM.S.DIST(-T16, TRUE)</f>
        <v>1.5034049092577675</v>
      </c>
      <c r="W16">
        <f>B3 * SQRT(D16) * _xlfn.NORM.S.DIST(T16, FALSE)</f>
        <v>10.156861916218855</v>
      </c>
      <c r="X16">
        <f>IF(W16 &gt; 0.00001, MAX(0.001, S16 - (V16 - H16) / W16), S16)</f>
        <v>0.3469167282749914</v>
      </c>
      <c r="Y16">
        <f>(LN(B3/E16) + (B4 + 0.5 * X16 * X16) * D16) / (X16 * SQRT(D16))</f>
        <v>0.8080055959258459</v>
      </c>
      <c r="Z16">
        <f>Y16 - X16 * SQRT(D16)</f>
        <v>0.7535488878733161</v>
      </c>
      <c r="AA16">
        <f>E16 * EXP(-B4 * D16) * _xlfn.NORM.S.DIST(-Z16, TRUE) - B3 * _xlfn.NORM.S.DIST(-Y16, TRUE)</f>
        <v>1.4850289327520514</v>
      </c>
      <c r="AB16">
        <f>B3 * SQRT(D16) * _xlfn.NORM.S.DIST(Y16, FALSE)</f>
        <v>10.124861820073734</v>
      </c>
      <c r="AC16">
        <f>IF(AB16 &gt; 0.00001, MAX(0.001, X16 - (AA16 - H16) / AB16), X16)</f>
        <v>0.3469138706802345</v>
      </c>
      <c r="AD16">
        <f>(LN(B3/E16) + (B4 + 0.5 * AC16 * AC16) * D16) / (AC16 * SQRT(D16))</f>
        <v>0.8080118030515159</v>
      </c>
      <c r="AE16">
        <f>IF(AB16 &gt; 0.00001, MAX(0.001, AC16 - ((E16 * EXP(-B4 * D16) * _xlfn.NORM.S.DIST(-(AD16 - AC16 * SQRT(D16)), TRUE) - B3 * _xlfn.NORM.S.DIST(-AD16, TRUE)) - H16) / (B3 * SQRT(D16) * _xlfn.NORM.S.DIST(AD16, FALSE))), AC16)</f>
        <v>0.3469138706730686</v>
      </c>
    </row>
    <row r="17" spans="1:31">
      <c r="A17" t="s">
        <v>47</v>
      </c>
      <c r="B17" t="s">
        <v>39</v>
      </c>
      <c r="C17">
        <f>DATEVALUE(B17)-DATEVALUE(B5)</f>
        <v>9</v>
      </c>
      <c r="D17">
        <f>C17/365.25</f>
        <v>0.024640657084188913</v>
      </c>
      <c r="E17">
        <v>220</v>
      </c>
      <c r="F17">
        <v>2.81</v>
      </c>
      <c r="G17">
        <v>2.87</v>
      </c>
      <c r="H17">
        <f>(F17+G17)/2</f>
        <v>2.84</v>
      </c>
      <c r="I17">
        <f>AE17</f>
        <v>0.33765675295234626</v>
      </c>
      <c r="J17">
        <v>0.333014482421875</v>
      </c>
      <c r="K17">
        <f>ABS(I17-J17)</f>
        <v>0.004642270530471282</v>
      </c>
      <c r="L17">
        <f>-_xlfn.NORM.S.DIST(-AD17, TRUE)</f>
        <v>-0.3464390793114967</v>
      </c>
      <c r="M17">
        <f>B3 * SQRT(D17) * _xlfn.NORM.S.DIST(AD17, FALSE) / 100</f>
        <v>0.12980352440419973</v>
      </c>
      <c r="N17">
        <v>0.4</v>
      </c>
      <c r="O17">
        <f>(LN(B3/E17) + (B4 + 0.5 * N17 * N17) * D17) / (N17 * SQRT(D17))</f>
        <v>0.34241930207891424</v>
      </c>
      <c r="P17">
        <f>O17 - N17 * SQRT(D17)</f>
        <v>0.27962993089660165</v>
      </c>
      <c r="Q17">
        <f>E17 * EXP(-B4 * D17) * _xlfn.NORM.S.DIST(-P17, TRUE) - B3 * _xlfn.NORM.S.DIST(-O17, TRUE)</f>
        <v>3.657800349549234</v>
      </c>
      <c r="R17">
        <f>B3 * SQRT(D17) * _xlfn.NORM.S.DIST(O17, FALSE)</f>
        <v>13.234208069430533</v>
      </c>
      <c r="S17">
        <f>IF(R17 &gt; 0.00001, MAX(0.001, N17 - (Q17 - H17) / R17), N17)</f>
        <v>0.33820556959216497</v>
      </c>
      <c r="T17">
        <f>(LN(B3/E17) + (B4 + 0.5 * S17 * S17) * D17) / (S17 * SQRT(D17))</f>
        <v>0.3943973871692486</v>
      </c>
      <c r="U17">
        <f>T17 - S17 * SQRT(D17)</f>
        <v>0.3413080995566289</v>
      </c>
      <c r="V17">
        <f>E17 * EXP(-B4 * D17) * _xlfn.NORM.S.DIST(-U17, TRUE) - B3 * _xlfn.NORM.S.DIST(-T17, TRUE)</f>
        <v>2.847124614072044</v>
      </c>
      <c r="W17">
        <f>B3 * SQRT(D17) * _xlfn.NORM.S.DIST(T17, FALSE)</f>
        <v>12.9831951118338</v>
      </c>
      <c r="X17">
        <f>IF(W17 &gt; 0.00001, MAX(0.001, S17 - (V17 - H17) / W17), S17)</f>
        <v>0.3376568129871325</v>
      </c>
      <c r="Y17">
        <f>(LN(B3/E17) + (B4 + 0.5 * X17 * X17) * D17) / (X17 * SQRT(D17))</f>
        <v>0.39495214780721405</v>
      </c>
      <c r="Z17">
        <f>Y17 - X17 * SQRT(D17)</f>
        <v>0.34194900039999965</v>
      </c>
      <c r="AA17">
        <f>E17 * EXP(-B4 * D17) * _xlfn.NORM.S.DIST(-Z17, TRUE) - B3 * _xlfn.NORM.S.DIST(-Y17, TRUE)</f>
        <v>2.840000779272671</v>
      </c>
      <c r="AB17">
        <f>B3 * SQRT(D17) * _xlfn.NORM.S.DIST(Y17, FALSE)</f>
        <v>12.980352752107812</v>
      </c>
      <c r="AC17">
        <f>IF(AB17 &gt; 0.00001, MAX(0.001, X17 - (AA17 - H17) / AB17), X17)</f>
        <v>0.3376567529523487</v>
      </c>
      <c r="AD17">
        <f>(LN(B3/E17) + (B4 + 0.5 * AC17 * AC17) * D17) / (AC17 * SQRT(D17))</f>
        <v>0.39495220860515284</v>
      </c>
      <c r="AE17">
        <f>IF(AB17 &gt; 0.00001, MAX(0.001, AC17 - ((E17 * EXP(-B4 * D17) * _xlfn.NORM.S.DIST(-(AD17 - AC17 * SQRT(D17)), TRUE) - B3 * _xlfn.NORM.S.DIST(-AD17, TRUE)) - H17) / (B3 * SQRT(D17) * _xlfn.NORM.S.DIST(AD17, FALSE))), AC17)</f>
        <v>0.33765675295234626</v>
      </c>
    </row>
    <row r="18" spans="1:31">
      <c r="A18" t="s">
        <v>48</v>
      </c>
      <c r="B18" t="s">
        <v>39</v>
      </c>
      <c r="C18">
        <f>DATEVALUE(B18)-DATEVALUE(B5)</f>
        <v>9</v>
      </c>
      <c r="D18">
        <f>C18/365.25</f>
        <v>0.024640657084188913</v>
      </c>
      <c r="E18">
        <v>225</v>
      </c>
      <c r="F18">
        <v>4.95</v>
      </c>
      <c r="G18">
        <v>5.05</v>
      </c>
      <c r="H18">
        <f>(F18+G18)/2</f>
        <v>5</v>
      </c>
      <c r="I18">
        <f>AE18</f>
        <v>0.33177553430691986</v>
      </c>
      <c r="J18">
        <v>0.3256903369140625</v>
      </c>
      <c r="K18">
        <f>ABS(I18-J18)</f>
        <v>0.006085197392857344</v>
      </c>
      <c r="L18">
        <f>-_xlfn.NORM.S.DIST(-AD18, TRUE)</f>
        <v>-0.5121598602596245</v>
      </c>
      <c r="M18">
        <f>B3 * SQRT(D18) * _xlfn.NORM.S.DIST(AD18, FALSE) / 100</f>
        <v>0.14026744382237863</v>
      </c>
      <c r="N18">
        <v>0.4</v>
      </c>
      <c r="O18">
        <f>(LN(B3/E18) + (B4 + 0.5 * N18 * N18) * D18) / (N18 * SQRT(D18))</f>
        <v>-0.015489296604250252</v>
      </c>
      <c r="P18">
        <f>O18 - N18 * SQRT(D18)</f>
        <v>-0.07827866778656282</v>
      </c>
      <c r="Q18">
        <f>E18 * EXP(-B4 * D18) * _xlfn.NORM.S.DIST(-P18, TRUE) - B3 * _xlfn.NORM.S.DIST(-O18, TRUE)</f>
        <v>5.957156624921481</v>
      </c>
      <c r="R18">
        <f>B3 * SQRT(D18) * _xlfn.NORM.S.DIST(O18, FALSE)</f>
        <v>14.031580340567846</v>
      </c>
      <c r="S18">
        <f>IF(R18 &gt; 0.00001, MAX(0.001, N18 - (Q18 - H18) / R18), N18)</f>
        <v>0.33178554363159174</v>
      </c>
      <c r="T18">
        <f>(LN(B3/E18) + (B4 + 0.5 * S18 * S18) * D18) / (S18 * SQRT(D18))</f>
        <v>-0.030482479821361614</v>
      </c>
      <c r="U18">
        <f>T18 - S18 * SQRT(D18)</f>
        <v>-0.08256399395138507</v>
      </c>
      <c r="V18">
        <f>E18 * EXP(-B4 * D18) * _xlfn.NORM.S.DIST(-U18, TRUE) - B3 * _xlfn.NORM.S.DIST(-T18, TRUE)</f>
        <v>5.000140398243943</v>
      </c>
      <c r="W18">
        <f>B3 * SQRT(D18) * _xlfn.NORM.S.DIST(T18, FALSE)</f>
        <v>14.026745447292575</v>
      </c>
      <c r="X18">
        <f>IF(W18 &gt; 0.00001, MAX(0.001, S18 - (V18 - H18) / W18), S18)</f>
        <v>0.3317755343072998</v>
      </c>
      <c r="Y18">
        <f>(LN(B3/E18) + (B4 + 0.5 * X18 * X18) * D18) / (X18 * SQRT(D18))</f>
        <v>-0.030484970667857308</v>
      </c>
      <c r="Z18">
        <f>Y18 - X18 * SQRT(D18)</f>
        <v>-0.08256491359993513</v>
      </c>
      <c r="AA18">
        <f>E18 * EXP(-B4 * D18) * _xlfn.NORM.S.DIST(-Z18, TRUE) - B3 * _xlfn.NORM.S.DIST(-Y18, TRUE)</f>
        <v>5.000000000005329</v>
      </c>
      <c r="AB18">
        <f>B3 * SQRT(D18) * _xlfn.NORM.S.DIST(Y18, FALSE)</f>
        <v>14.026744382237903</v>
      </c>
      <c r="AC18">
        <f>IF(AB18 &gt; 0.00001, MAX(0.001, X18 - (AA18 - H18) / AB18), X18)</f>
        <v>0.33177553430691986</v>
      </c>
      <c r="AD18">
        <f>(LN(B3/E18) + (B4 + 0.5 * AC18 * AC18) * D18) / (AC18 * SQRT(D18))</f>
        <v>-0.03048497066795185</v>
      </c>
      <c r="AE18">
        <f>IF(AB18 &gt; 0.00001, MAX(0.001, AC18 - ((E18 * EXP(-B4 * D18) * _xlfn.NORM.S.DIST(-(AD18 - AC18 * SQRT(D18)), TRUE) - B3 * _xlfn.NORM.S.DIST(-AD18, TRUE)) - H18) / (B3 * SQRT(D18) * _xlfn.NORM.S.DIST(AD18, FALSE))), AC18)</f>
        <v>0.33177553430691986</v>
      </c>
    </row>
    <row r="19" spans="1:31">
      <c r="A19" t="s">
        <v>49</v>
      </c>
      <c r="B19" t="s">
        <v>39</v>
      </c>
      <c r="C19">
        <f>DATEVALUE(B19)-DATEVALUE(B5)</f>
        <v>9</v>
      </c>
      <c r="D19">
        <f>C19/365.25</f>
        <v>0.024640657084188913</v>
      </c>
      <c r="E19">
        <v>230</v>
      </c>
      <c r="F19">
        <v>8</v>
      </c>
      <c r="G19">
        <v>8.15</v>
      </c>
      <c r="H19">
        <f>(F19+G19)/2</f>
        <v>8.075</v>
      </c>
      <c r="I19">
        <f>AE19</f>
        <v>0.3320736381883408</v>
      </c>
      <c r="J19">
        <v>0.3237372314453124</v>
      </c>
      <c r="K19">
        <f>ABS(I19-J19)</f>
        <v>0.00833640674302838</v>
      </c>
      <c r="L19">
        <f>-_xlfn.NORM.S.DIST(-AD19, TRUE)</f>
        <v>-0.6743851252497706</v>
      </c>
      <c r="M19">
        <f>B3 * SQRT(D19) * _xlfn.NORM.S.DIST(AD19, FALSE) / 100</f>
        <v>0.126702138098579</v>
      </c>
      <c r="N19">
        <v>0.4</v>
      </c>
      <c r="O19">
        <f>(LN(B3/E19) + (B4 + 0.5 * N19 * N19) * D19) / (N19 * SQRT(D19))</f>
        <v>-0.3655311317893521</v>
      </c>
      <c r="P19">
        <f>O19 - N19 * SQRT(D19)</f>
        <v>-0.4283205029716647</v>
      </c>
      <c r="Q19">
        <f>E19 * EXP(-B4 * D19) * _xlfn.NORM.S.DIST(-P19, TRUE) - B3 * _xlfn.NORM.S.DIST(-O19, TRUE)</f>
        <v>8.952489665252244</v>
      </c>
      <c r="R19">
        <f>B3 * SQRT(D19) * _xlfn.NORM.S.DIST(O19, FALSE)</f>
        <v>13.126380486487042</v>
      </c>
      <c r="S19">
        <f>IF(R19 &gt; 0.00001, MAX(0.001, N19 - (Q19 - H19) / R19), N19)</f>
        <v>0.33315067575897434</v>
      </c>
      <c r="T19">
        <f>(LN(B3/E19) + (B4 + 0.5 * S19 * S19) * D19) / (S19 * SQRT(D19))</f>
        <v>-0.45042422758425565</v>
      </c>
      <c r="U19">
        <f>T19 - S19 * SQRT(D19)</f>
        <v>-0.5027200311839269</v>
      </c>
      <c r="V19">
        <f>E19 * EXP(-B4 * D19) * _xlfn.NORM.S.DIST(-U19, TRUE) - B3 * _xlfn.NORM.S.DIST(-T19, TRUE)</f>
        <v>8.088651324973569</v>
      </c>
      <c r="W19">
        <f>B3 * SQRT(D19) * _xlfn.NORM.S.DIST(T19, FALSE)</f>
        <v>12.679537766843438</v>
      </c>
      <c r="X19">
        <f>IF(W19 &gt; 0.00001, MAX(0.001, S19 - (V19 - H19) / W19), S19)</f>
        <v>0.33207403359546683</v>
      </c>
      <c r="Y19">
        <f>(LN(B3/E19) + (B4 + 0.5 * X19 * X19) * D19) / (X19 * SQRT(D19))</f>
        <v>-0.45205385998165626</v>
      </c>
      <c r="Z19">
        <f>Y19 - X19 * SQRT(D19)</f>
        <v>-0.50418065937024</v>
      </c>
      <c r="AA19">
        <f>E19 * EXP(-B4 * D19) * _xlfn.NORM.S.DIST(-Z19, TRUE) - B3 * _xlfn.NORM.S.DIST(-Y19, TRUE)</f>
        <v>8.075005009893545</v>
      </c>
      <c r="AB19">
        <f>B3 * SQRT(D19) * _xlfn.NORM.S.DIST(Y19, FALSE)</f>
        <v>12.670217248370847</v>
      </c>
      <c r="AC19">
        <f>IF(AB19 &gt; 0.00001, MAX(0.001, X19 - (AA19 - H19) / AB19), X19)</f>
        <v>0.33207363818839153</v>
      </c>
      <c r="AD19">
        <f>(LN(B3/E19) + (B4 + 0.5 * AC19 * AC19) * D19) / (AC19 * SQRT(D19))</f>
        <v>-0.4520544603201498</v>
      </c>
      <c r="AE19">
        <f>IF(AB19 &gt; 0.00001, MAX(0.001, AC19 - ((E19 * EXP(-B4 * D19) * _xlfn.NORM.S.DIST(-(AD19 - AC19 * SQRT(D19)), TRUE) - B3 * _xlfn.NORM.S.DIST(-AD19, TRUE)) - H19) / (B3 * SQRT(D19) * _xlfn.NORM.S.DIST(AD19, FALSE))), AC19)</f>
        <v>0.3320736381883408</v>
      </c>
    </row>
    <row r="20" spans="1:31">
      <c r="A20" t="s">
        <v>50</v>
      </c>
      <c r="B20" t="s">
        <v>39</v>
      </c>
      <c r="C20">
        <f>DATEVALUE(B20)-DATEVALUE(B5)</f>
        <v>9</v>
      </c>
      <c r="D20">
        <f>C20/365.25</f>
        <v>0.024640657084188913</v>
      </c>
      <c r="E20">
        <v>240</v>
      </c>
      <c r="F20">
        <v>16.1</v>
      </c>
      <c r="G20">
        <v>16.6</v>
      </c>
      <c r="H20">
        <f>(F20+G20)/2</f>
        <v>16.35</v>
      </c>
      <c r="I20">
        <f>AE20</f>
        <v>0.35466932373564736</v>
      </c>
      <c r="J20">
        <v>0.356451748046875</v>
      </c>
      <c r="K20">
        <f>ABS(I20-J20)</f>
        <v>0.0017824243112276594</v>
      </c>
      <c r="L20">
        <f>-_xlfn.NORM.S.DIST(-AD20, TRUE)</f>
        <v>-0.8818465933560057</v>
      </c>
      <c r="M20">
        <f>B3 * SQRT(D20) * _xlfn.NORM.S.DIST(AD20, FALSE) / 100</f>
        <v>0.06960035708890443</v>
      </c>
      <c r="N20">
        <v>0.4</v>
      </c>
      <c r="O20">
        <f>(LN(B3/E20) + (B4 + 0.5 * N20 * N20) * D20) / (N20 * SQRT(D20))</f>
        <v>-1.0433467177301896</v>
      </c>
      <c r="P20">
        <f>O20 - N20 * SQRT(D20)</f>
        <v>-1.1061360889125023</v>
      </c>
      <c r="Q20">
        <f>E20 * EXP(-B4 * D20) * _xlfn.NORM.S.DIST(-P20, TRUE) - B3 * _xlfn.NORM.S.DIST(-O20, TRUE)</f>
        <v>16.69322539985319</v>
      </c>
      <c r="R20">
        <f>B3 * SQRT(D20) * _xlfn.NORM.S.DIST(O20, FALSE)</f>
        <v>8.142883049762137</v>
      </c>
      <c r="S20">
        <f>IF(R20 &gt; 0.00001, MAX(0.001, N20 - (Q20 - H20) / R20), N20)</f>
        <v>0.35784964640217753</v>
      </c>
      <c r="T20">
        <f>(LN(B3/E20) + (B4 + 0.5 * S20 * S20) * D20) / (S20 * SQRT(D20))</f>
        <v>-1.1732464790985782</v>
      </c>
      <c r="U20">
        <f>T20 - S20 * SQRT(D20)</f>
        <v>-1.2294193647870921</v>
      </c>
      <c r="V20">
        <f>E20 * EXP(-B4 * D20) * _xlfn.NORM.S.DIST(-U20, TRUE) - B3 * _xlfn.NORM.S.DIST(-T20, TRUE)</f>
        <v>16.37228022307309</v>
      </c>
      <c r="W20">
        <f>B3 * SQRT(D20) * _xlfn.NORM.S.DIST(T20, FALSE)</f>
        <v>7.051052078367712</v>
      </c>
      <c r="X20">
        <f>IF(W20 &gt; 0.00001, MAX(0.001, S20 - (V20 - H20) / W20), S20)</f>
        <v>0.3546898026192272</v>
      </c>
      <c r="Y20">
        <f>(LN(B3/E20) + (B4 + 0.5 * X20 * X20) * D20) / (X20 * SQRT(D20))</f>
        <v>-1.1841968629222348</v>
      </c>
      <c r="Z20">
        <f>Y20 - X20 * SQRT(D20)</f>
        <v>-1.2398737371003343</v>
      </c>
      <c r="AA20">
        <f>E20 * EXP(-B4 * D20) * _xlfn.NORM.S.DIST(-Z20, TRUE) - B3 * _xlfn.NORM.S.DIST(-Y20, TRUE)</f>
        <v>16.350142539802874</v>
      </c>
      <c r="AB20">
        <f>B3 * SQRT(D20) * _xlfn.NORM.S.DIST(Y20, FALSE)</f>
        <v>6.960625785022346</v>
      </c>
      <c r="AC20">
        <f>IF(AB20 &gt; 0.00001, MAX(0.001, X20 - (AA20 - H20) / AB20), X20)</f>
        <v>0.3546693246037046</v>
      </c>
      <c r="AD20">
        <f>(LN(B3/E20) + (B4 + 0.5 * AC20 * AC20) * D20) / (AC20 * SQRT(D20))</f>
        <v>-1.1842684510719836</v>
      </c>
      <c r="AE20">
        <f>IF(AB20 &gt; 0.00001, MAX(0.001, AC20 - ((E20 * EXP(-B4 * D20) * _xlfn.NORM.S.DIST(-(AD20 - AC20 * SQRT(D20)), TRUE) - B3 * _xlfn.NORM.S.DIST(-AD20, TRUE)) - H20) / (B3 * SQRT(D20) * _xlfn.NORM.S.DIST(AD20, FALSE))), AC20)</f>
        <v>0.35466932373564736</v>
      </c>
    </row>
    <row r="21" spans="1:31">
      <c r="A21" t="s">
        <v>51</v>
      </c>
      <c r="B21" t="s">
        <v>52</v>
      </c>
      <c r="C21">
        <f>DATEVALUE(B21)-DATEVALUE(B5)</f>
        <v>37</v>
      </c>
      <c r="D21">
        <f>C21/365.25</f>
        <v>0.10130047912388775</v>
      </c>
      <c r="E21">
        <v>150</v>
      </c>
      <c r="F21">
        <v>0.25</v>
      </c>
      <c r="G21">
        <v>0.29</v>
      </c>
      <c r="H21">
        <f>(F21+G21)/2</f>
        <v>0.27</v>
      </c>
      <c r="I21">
        <f>AE21</f>
        <v>0.662665024401726</v>
      </c>
      <c r="J21">
        <v>0.6167030517578126</v>
      </c>
      <c r="K21">
        <f>ABS(I21-J21)</f>
        <v>0.04596197264391344</v>
      </c>
      <c r="L21">
        <f>-_xlfn.NORM.S.DIST(-AD21, TRUE)</f>
        <v>-0.038209067125213415</v>
      </c>
      <c r="M21">
        <f>B3 * SQRT(D21) * _xlfn.NORM.S.DIST(AD21, FALSE) / 100</f>
        <v>0.059211861652664954</v>
      </c>
      <c r="N21">
        <v>0.4</v>
      </c>
      <c r="O21">
        <f>(LN(B3/E21) + (B4 + 0.5 * N21 * N21) * D21) / (N21 * SQRT(D21))</f>
        <v>3.252469953757874</v>
      </c>
      <c r="P21">
        <f>O21 - N21 * SQRT(D21)</f>
        <v>3.1251590089816217</v>
      </c>
      <c r="Q21">
        <f>E21 * EXP(-B4 * D21) * _xlfn.NORM.S.DIST(-P21, TRUE) - B3 * _xlfn.NORM.S.DIST(-O21, TRUE)</f>
        <v>0.004488566209438299</v>
      </c>
      <c r="R21">
        <f>B3 * SQRT(D21) * _xlfn.NORM.S.DIST(O21, FALSE)</f>
        <v>0.1435598517501079</v>
      </c>
      <c r="S21">
        <f>IF(R21 &gt; 0.00001, MAX(0.001, N21 - (Q21 - H21) / R21), N21)</f>
        <v>2.249482501923538</v>
      </c>
      <c r="T21">
        <f>(LN(B3/E21) + (B4 + 0.5 * S21 * S21) * D21) / (S21 * SQRT(D21))</f>
        <v>0.9250104470575025</v>
      </c>
      <c r="U21">
        <f>T21 - S21 * SQRT(D21)</f>
        <v>0.20905109061366733</v>
      </c>
      <c r="V21">
        <f>E21 * EXP(-B4 * D21) * _xlfn.NORM.S.DIST(-U21, TRUE) - B3 * _xlfn.NORM.S.DIST(-T21, TRUE)</f>
        <v>22.52445449954785</v>
      </c>
      <c r="W21">
        <f>B3 * SQRT(D21) * _xlfn.NORM.S.DIST(T21, FALSE)</f>
        <v>18.549725499889536</v>
      </c>
      <c r="X21">
        <f>IF(W21 &gt; 0.00001, MAX(0.001, S21 - (V21 - H21) / W21), S21)</f>
        <v>1.0497636974765192</v>
      </c>
      <c r="Y21">
        <f>(LN(B3/E21) + (B4 + 0.5 * X21 * X21) * D21) / (X21 * SQRT(D21))</f>
        <v>1.3821179285019698</v>
      </c>
      <c r="Z21">
        <f>Y21 - X21 * SQRT(D21)</f>
        <v>1.0480019082081</v>
      </c>
      <c r="AA21">
        <f>E21 * EXP(-B4 * D21) * _xlfn.NORM.S.DIST(-Z21, TRUE) - B3 * _xlfn.NORM.S.DIST(-Y21, TRUE)</f>
        <v>3.2930379225205826</v>
      </c>
      <c r="AB21">
        <f>B3 * SQRT(D21) * _xlfn.NORM.S.DIST(Y21, FALSE)</f>
        <v>10.947949413299504</v>
      </c>
      <c r="AC21">
        <f>IF(AB21 &gt; 0.00001, MAX(0.001, X21 - (AA21 - H21) / AB21), X21)</f>
        <v>0.7736354648370612</v>
      </c>
      <c r="AD21">
        <f>(LN(B3/E21) + (B4 + 0.5 * AC21 * AC21) * D21) / (AC21 * SQRT(D21))</f>
        <v>1.7718579853347398</v>
      </c>
      <c r="AE21">
        <f>IF(AB21 &gt; 0.00001, MAX(0.001, AC21 - ((E21 * EXP(-B4 * D21) * _xlfn.NORM.S.DIST(-(AD21 - AC21 * SQRT(D21)), TRUE) - B3 * _xlfn.NORM.S.DIST(-AD21, TRUE)) - H21) / (B3 * SQRT(D21) * _xlfn.NORM.S.DIST(AD21, FALSE))), AC21)</f>
        <v>0.662665024401726</v>
      </c>
    </row>
    <row r="22" spans="1:31">
      <c r="A22" t="s">
        <v>53</v>
      </c>
      <c r="B22" t="s">
        <v>52</v>
      </c>
      <c r="C22">
        <f>DATEVALUE(B22)-DATEVALUE(B5)</f>
        <v>37</v>
      </c>
      <c r="D22">
        <f>C22/365.25</f>
        <v>0.10130047912388775</v>
      </c>
      <c r="E22">
        <v>160</v>
      </c>
      <c r="F22">
        <v>0.36</v>
      </c>
      <c r="G22">
        <v>0.37</v>
      </c>
      <c r="H22">
        <f>(F22+G22)/2</f>
        <v>0.365</v>
      </c>
      <c r="I22">
        <f>AE22</f>
        <v>0.5638567829755391</v>
      </c>
      <c r="J22">
        <v>0.5556685058593751</v>
      </c>
      <c r="K22">
        <f>ABS(I22-J22)</f>
        <v>0.008188277116163989</v>
      </c>
      <c r="L22">
        <f>-_xlfn.NORM.S.DIST(-AD22, TRUE)</f>
        <v>-0.027170722088831176</v>
      </c>
      <c r="M22">
        <f>B3 * SQRT(D22) * _xlfn.NORM.S.DIST(AD22, FALSE) / 100</f>
        <v>0.044691017906169694</v>
      </c>
      <c r="N22">
        <v>0.4</v>
      </c>
      <c r="O22">
        <f>(LN(B3/E22) + (B4 + 0.5 * N22 * N22) * D22) / (N22 * SQRT(D22))</f>
        <v>2.7455337963756716</v>
      </c>
      <c r="P22">
        <f>O22 - N22 * SQRT(D22)</f>
        <v>2.618222851599419</v>
      </c>
      <c r="Q22">
        <f>E22 * EXP(-B4 * D22) * _xlfn.NORM.S.DIST(-P22, TRUE) - B3 * _xlfn.NORM.S.DIST(-O22, TRUE)</f>
        <v>0.02700406791574761</v>
      </c>
      <c r="R22">
        <f>B3 * SQRT(D22) * _xlfn.NORM.S.DIST(O22, FALSE)</f>
        <v>0.6565865497335373</v>
      </c>
      <c r="S22">
        <f>IF(R22 &gt; 0.00001, MAX(0.001, N22 - (Q22 - H22) / R22), N22)</f>
        <v>0.9147774230547693</v>
      </c>
      <c r="T22">
        <f>(LN(B3/E22) + (B4 + 0.5 * S22 * S22) * D22) / (S22 * SQRT(D22))</f>
        <v>1.3182675583821157</v>
      </c>
      <c r="U22">
        <f>T22 - S22 * SQRT(D22)</f>
        <v>1.0271146134093947</v>
      </c>
      <c r="V22">
        <f>E22 * EXP(-B4 * D22) * _xlfn.NORM.S.DIST(-U22, TRUE) - B3 * _xlfn.NORM.S.DIST(-T22, TRUE)</f>
        <v>3.239763081372349</v>
      </c>
      <c r="W22">
        <f>B3 * SQRT(D22) * _xlfn.NORM.S.DIST(T22, FALSE)</f>
        <v>11.933654012528304</v>
      </c>
      <c r="X22">
        <f>IF(W22 &gt; 0.00001, MAX(0.001, S22 - (V22 - H22) / W22), S22)</f>
        <v>0.673881962338853</v>
      </c>
      <c r="Y22">
        <f>(LN(B3/E22) + (B4 + 0.5 * X22 * X22) * D22) / (X22 * SQRT(D22))</f>
        <v>1.6991386591808098</v>
      </c>
      <c r="Z22">
        <f>Y22 - X22 * SQRT(D22)</f>
        <v>1.4846572859482237</v>
      </c>
      <c r="AA22">
        <f>E22 * EXP(-B4 * D22) * _xlfn.NORM.S.DIST(-Z22, TRUE) - B3 * _xlfn.NORM.S.DIST(-Y22, TRUE)</f>
        <v>0.9558509633856094</v>
      </c>
      <c r="AB22">
        <f>B3 * SQRT(D22) * _xlfn.NORM.S.DIST(Y22, FALSE)</f>
        <v>6.7176679504026255</v>
      </c>
      <c r="AC22">
        <f>IF(AB22 &gt; 0.00001, MAX(0.001, X22 - (AA22 - H22) / AB22), X22)</f>
        <v>0.5859271887853021</v>
      </c>
      <c r="AD22">
        <f>(LN(B3/E22) + (B4 + 0.5 * AC22 * AC22) * D22) / (AC22 * SQRT(D22))</f>
        <v>1.9241048349502852</v>
      </c>
      <c r="AE22">
        <f>IF(AB22 &gt; 0.00001, MAX(0.001, AC22 - ((E22 * EXP(-B4 * D22) * _xlfn.NORM.S.DIST(-(AD22 - AC22 * SQRT(D22)), TRUE) - B3 * _xlfn.NORM.S.DIST(-AD22, TRUE)) - H22) / (B3 * SQRT(D22) * _xlfn.NORM.S.DIST(AD22, FALSE))), AC22)</f>
        <v>0.5638567829755391</v>
      </c>
    </row>
    <row r="23" spans="1:31">
      <c r="A23" t="s">
        <v>54</v>
      </c>
      <c r="B23" t="s">
        <v>52</v>
      </c>
      <c r="C23">
        <f>DATEVALUE(B23)-DATEVALUE(B5)</f>
        <v>37</v>
      </c>
      <c r="D23">
        <f>C23/365.25</f>
        <v>0.10130047912388775</v>
      </c>
      <c r="E23">
        <v>170</v>
      </c>
      <c r="F23">
        <v>0.51</v>
      </c>
      <c r="G23">
        <v>0.54</v>
      </c>
      <c r="H23">
        <f>(F23+G23)/2</f>
        <v>0.525</v>
      </c>
      <c r="I23">
        <f>AE23</f>
        <v>0.5080211245166072</v>
      </c>
      <c r="J23">
        <v>0.5009815527343751</v>
      </c>
      <c r="K23">
        <f>ABS(I23-J23)</f>
        <v>0.007039571782232135</v>
      </c>
      <c r="L23">
        <f>-_xlfn.NORM.S.DIST(-AD23, TRUE)</f>
        <v>-0.03467303669808517</v>
      </c>
      <c r="M23">
        <f>B3 * SQRT(D23) * _xlfn.NORM.S.DIST(AD23, FALSE) / 100</f>
        <v>0.054688121769041524</v>
      </c>
      <c r="N23">
        <v>0.4</v>
      </c>
      <c r="O23">
        <f>(LN(B3/E23) + (B4 + 0.5 * N23 * N23) * D23) / (N23 * SQRT(D23))</f>
        <v>2.2693404736179006</v>
      </c>
      <c r="P23">
        <f>O23 - N23 * SQRT(D23)</f>
        <v>2.1420295288416478</v>
      </c>
      <c r="Q23">
        <f>E23 * EXP(-B4 * D23) * _xlfn.NORM.S.DIST(-P23, TRUE) - B3 * _xlfn.NORM.S.DIST(-O23, TRUE)</f>
        <v>0.11901856503621522</v>
      </c>
      <c r="R23">
        <f>B3 * SQRT(D23) * _xlfn.NORM.S.DIST(O23, FALSE)</f>
        <v>2.1669573961645283</v>
      </c>
      <c r="S23">
        <f>IF(R23 &gt; 0.00001, MAX(0.001, N23 - (Q23 - H23) / R23), N23)</f>
        <v>0.587350907628532</v>
      </c>
      <c r="T23">
        <f>(LN(B3/E23) + (B4 + 0.5 * S23 * S23) * D23) / (S23 * SQRT(D23))</f>
        <v>1.5955944287035646</v>
      </c>
      <c r="U23">
        <f>T23 - S23 * SQRT(D23)</f>
        <v>1.4086539312901198</v>
      </c>
      <c r="V23">
        <f>E23 * EXP(-B4 * D23) * _xlfn.NORM.S.DIST(-U23, TRUE) - B3 * _xlfn.NORM.S.DIST(-T23, TRUE)</f>
        <v>1.058379668189497</v>
      </c>
      <c r="W23">
        <f>B3 * SQRT(D23) * _xlfn.NORM.S.DIST(T23, FALSE)</f>
        <v>7.967066555193309</v>
      </c>
      <c r="X23">
        <f>IF(W23 &gt; 0.00001, MAX(0.001, S23 - (V23 - H23) / W23), S23)</f>
        <v>0.5204028453154571</v>
      </c>
      <c r="Y23">
        <f>(LN(B3/E23) + (B4 + 0.5 * X23 * X23) * D23) / (X23 * SQRT(D23))</f>
        <v>1.7781835871671339</v>
      </c>
      <c r="Z23">
        <f>Y23 - X23 * SQRT(D23)</f>
        <v>1.6125511424137318</v>
      </c>
      <c r="AA23">
        <f>E23 * EXP(-B4 * D23) * _xlfn.NORM.S.DIST(-Z23, TRUE) - B3 * _xlfn.NORM.S.DIST(-Y23, TRUE)</f>
        <v>0.5950237179031266</v>
      </c>
      <c r="AB23">
        <f>B3 * SQRT(D23) * _xlfn.NORM.S.DIST(Y23, FALSE)</f>
        <v>5.855074492421772</v>
      </c>
      <c r="AC23">
        <f>IF(AB23 &gt; 0.00001, MAX(0.001, X23 - (AA23 - H23) / AB23), X23)</f>
        <v>0.5084433530846139</v>
      </c>
      <c r="AD23">
        <f>(LN(B3/E23) + (B4 + 0.5 * AC23 * AC23) * D23) / (AC23 * SQRT(D23))</f>
        <v>1.8161584259787988</v>
      </c>
      <c r="AE23">
        <f>IF(AB23 &gt; 0.00001, MAX(0.001, AC23 - ((E23 * EXP(-B4 * D23) * _xlfn.NORM.S.DIST(-(AD23 - AC23 * SQRT(D23)), TRUE) - B3 * _xlfn.NORM.S.DIST(-AD23, TRUE)) - H23) / (B3 * SQRT(D23) * _xlfn.NORM.S.DIST(AD23, FALSE))), AC23)</f>
        <v>0.5080211245166072</v>
      </c>
    </row>
    <row r="24" spans="1:31">
      <c r="A24" t="s">
        <v>55</v>
      </c>
      <c r="B24" t="s">
        <v>52</v>
      </c>
      <c r="C24">
        <f>DATEVALUE(B24)-DATEVALUE(B5)</f>
        <v>37</v>
      </c>
      <c r="D24">
        <f>C24/365.25</f>
        <v>0.10130047912388775</v>
      </c>
      <c r="E24">
        <v>180</v>
      </c>
      <c r="F24">
        <v>0.82</v>
      </c>
      <c r="G24">
        <v>0.87</v>
      </c>
      <c r="H24">
        <f>(F24+G24)/2</f>
        <v>0.845</v>
      </c>
      <c r="I24">
        <f>AE24</f>
        <v>0.46492758150494723</v>
      </c>
      <c r="J24">
        <v>0.4602104760742188</v>
      </c>
      <c r="K24">
        <f>ABS(I24-J24)</f>
        <v>0.004717105430728452</v>
      </c>
      <c r="L24">
        <f>-_xlfn.NORM.S.DIST(-AD24, TRUE)</f>
        <v>-0.0564404577066467</v>
      </c>
      <c r="M24">
        <f>B3 * SQRT(D24) * _xlfn.NORM.S.DIST(AD24, FALSE) / 100</f>
        <v>0.08097606441104933</v>
      </c>
      <c r="N24">
        <v>0.4</v>
      </c>
      <c r="O24">
        <f>(LN(B3/E24) + (B4 + 0.5 * N24 * N24) * D24) / (N24 * SQRT(D24))</f>
        <v>1.820373466575389</v>
      </c>
      <c r="P24">
        <f>O24 - N24 * SQRT(D24)</f>
        <v>1.6930625217991364</v>
      </c>
      <c r="Q24">
        <f>E24 * EXP(-B4 * D24) * _xlfn.NORM.S.DIST(-P24, TRUE) - B3 * _xlfn.NORM.S.DIST(-O24, TRUE)</f>
        <v>0.4051670519911008</v>
      </c>
      <c r="R24">
        <f>B3 * SQRT(D24) * _xlfn.NORM.S.DIST(O24, FALSE)</f>
        <v>5.427059049825758</v>
      </c>
      <c r="S24">
        <f>IF(R24 &gt; 0.00001, MAX(0.001, N24 - (Q24 - H24) / R24), N24)</f>
        <v>0.48104443750672304</v>
      </c>
      <c r="T24">
        <f>(LN(B3/E24) + (B4 + 0.5 * S24 * S24) * D24) / (S24 * SQRT(D24))</f>
        <v>1.5373059694664954</v>
      </c>
      <c r="U24">
        <f>T24 - S24 * SQRT(D24)</f>
        <v>1.3842004149206406</v>
      </c>
      <c r="V24">
        <f>E24 * EXP(-B4 * D24) * _xlfn.NORM.S.DIST(-U24, TRUE) - B3 * _xlfn.NORM.S.DIST(-T24, TRUE)</f>
        <v>0.9806170731292312</v>
      </c>
      <c r="W24">
        <f>B3 * SQRT(D24) * _xlfn.NORM.S.DIST(T24, FALSE)</f>
        <v>8.728751375828526</v>
      </c>
      <c r="X24">
        <f>IF(W24 &gt; 0.00001, MAX(0.001, S24 - (V24 - H24) / W24), S24)</f>
        <v>0.4655076135911308</v>
      </c>
      <c r="Y24">
        <f>(LN(B3/E24) + (B4 + 0.5 * X24 * X24) * D24) / (X24 * SQRT(D24))</f>
        <v>1.5835876895260093</v>
      </c>
      <c r="Z24">
        <f>Y24 - X24 * SQRT(D24)</f>
        <v>1.4354271543089454</v>
      </c>
      <c r="AA24">
        <f>E24 * EXP(-B4 * D24) * _xlfn.NORM.S.DIST(-Z24, TRUE) - B3 * _xlfn.NORM.S.DIST(-Y24, TRUE)</f>
        <v>0.8497035272182547</v>
      </c>
      <c r="AB24">
        <f>B3 * SQRT(D24) * _xlfn.NORM.S.DIST(Y24, FALSE)</f>
        <v>8.120584785246574</v>
      </c>
      <c r="AC24">
        <f>IF(AB24 &gt; 0.00001, MAX(0.001, X24 - (AA24 - H24) / AB24), X24)</f>
        <v>0.464928403184166</v>
      </c>
      <c r="AD24">
        <f>(LN(B3/E24) + (B4 + 0.5 * AC24 * AC24) * D24) / (AC24 * SQRT(D24))</f>
        <v>1.5853760675410176</v>
      </c>
      <c r="AE24">
        <f>IF(AB24 &gt; 0.00001, MAX(0.001, AC24 - ((E24 * EXP(-B4 * D24) * _xlfn.NORM.S.DIST(-(AD24 - AC24 * SQRT(D24)), TRUE) - B3 * _xlfn.NORM.S.DIST(-AD24, TRUE)) - H24) / (B3 * SQRT(D24) * _xlfn.NORM.S.DIST(AD24, FALSE))), AC24)</f>
        <v>0.46492758150494723</v>
      </c>
    </row>
    <row r="25" spans="1:31">
      <c r="A25" t="s">
        <v>56</v>
      </c>
      <c r="B25" t="s">
        <v>52</v>
      </c>
      <c r="C25">
        <f>DATEVALUE(B25)-DATEVALUE(B5)</f>
        <v>37</v>
      </c>
      <c r="D25">
        <f>C25/365.25</f>
        <v>0.10130047912388775</v>
      </c>
      <c r="E25">
        <v>190</v>
      </c>
      <c r="F25">
        <v>1.47</v>
      </c>
      <c r="G25">
        <v>1.53</v>
      </c>
      <c r="H25">
        <f>(F25+G25)/2</f>
        <v>1.5</v>
      </c>
      <c r="I25">
        <f>AE25</f>
        <v>0.4336329648784039</v>
      </c>
      <c r="J25">
        <v>0.4272518212890626</v>
      </c>
      <c r="K25">
        <f>ABS(I25-J25)</f>
        <v>0.0063811435893413315</v>
      </c>
      <c r="L25">
        <f>-_xlfn.NORM.S.DIST(-AD25, TRUE)</f>
        <v>-0.0971907810134519</v>
      </c>
      <c r="M25">
        <f>B3 * SQRT(D25) * _xlfn.NORM.S.DIST(AD25, FALSE) / 100</f>
        <v>0.12258639830273883</v>
      </c>
      <c r="N25">
        <v>0.4</v>
      </c>
      <c r="O25">
        <f>(LN(B3/E25) + (B4 + 0.5 * N25 * N25) * D25) / (N25 * SQRT(D25))</f>
        <v>1.3956871101486246</v>
      </c>
      <c r="P25">
        <f>O25 - N25 * SQRT(D25)</f>
        <v>1.268376165372372</v>
      </c>
      <c r="Q25">
        <f>E25 * EXP(-B4 * D25) * _xlfn.NORM.S.DIST(-P25, TRUE) - B3 * _xlfn.NORM.S.DIST(-O25, TRUE)</f>
        <v>1.1127118253571133</v>
      </c>
      <c r="R25">
        <f>B3 * SQRT(D25) * _xlfn.NORM.S.DIST(O25, FALSE)</f>
        <v>10.743553496574282</v>
      </c>
      <c r="S25">
        <f>IF(R25 &gt; 0.00001, MAX(0.001, N25 - (Q25 - H25) / R25), N25)</f>
        <v>0.43604842427287943</v>
      </c>
      <c r="T25">
        <f>(LN(B3/E25) + (B4 + 0.5 * S25 * S25) * D25) / (S25 * SQRT(D25))</f>
        <v>1.291303833739466</v>
      </c>
      <c r="U25">
        <f>T25 - S25 * SQRT(D25)</f>
        <v>1.1525194915835246</v>
      </c>
      <c r="V25">
        <f>E25 * EXP(-B4 * D25) * _xlfn.NORM.S.DIST(-U25, TRUE) - B3 * _xlfn.NORM.S.DIST(-T25, TRUE)</f>
        <v>1.5297340138441733</v>
      </c>
      <c r="W25">
        <f>B3 * SQRT(D25) * _xlfn.NORM.S.DIST(T25, FALSE)</f>
        <v>12.360975330636583</v>
      </c>
      <c r="X25">
        <f>IF(W25 &gt; 0.00001, MAX(0.001, S25 - (V25 - H25) / W25), S25)</f>
        <v>0.4336429495389822</v>
      </c>
      <c r="Y25">
        <f>(LN(B3/E25) + (B4 + 0.5 * X25 * X25) * D25) / (X25 * SQRT(D25))</f>
        <v>1.297699135094671</v>
      </c>
      <c r="Z25">
        <f>Y25 - X25 * SQRT(D25)</f>
        <v>1.1596804010912494</v>
      </c>
      <c r="AA25">
        <f>E25 * EXP(-B4 * D25) * _xlfn.NORM.S.DIST(-Z25, TRUE) - B3 * _xlfn.NORM.S.DIST(-Y25, TRUE)</f>
        <v>1.500122400478503</v>
      </c>
      <c r="AB25">
        <f>B3 * SQRT(D25) * _xlfn.NORM.S.DIST(Y25, FALSE)</f>
        <v>12.259064616764842</v>
      </c>
      <c r="AC25">
        <f>IF(AB25 &gt; 0.00001, MAX(0.001, X25 - (AA25 - H25) / AB25), X25)</f>
        <v>0.4336329650513945</v>
      </c>
      <c r="AD25">
        <f>(LN(B3/E25) + (B4 + 0.5 * AC25 * AC25) * D25) / (AC25 * SQRT(D25))</f>
        <v>1.2977258370093503</v>
      </c>
      <c r="AE25">
        <f>IF(AB25 &gt; 0.00001, MAX(0.001, AC25 - ((E25 * EXP(-B4 * D25) * _xlfn.NORM.S.DIST(-(AD25 - AC25 * SQRT(D25)), TRUE) - B3 * _xlfn.NORM.S.DIST(-AD25, TRUE)) - H25) / (B3 * SQRT(D25) * _xlfn.NORM.S.DIST(AD25, FALSE))), AC25)</f>
        <v>0.4336329648784039</v>
      </c>
    </row>
    <row r="26" spans="1:31">
      <c r="A26" t="s">
        <v>57</v>
      </c>
      <c r="B26" t="s">
        <v>52</v>
      </c>
      <c r="C26">
        <f>DATEVALUE(B26)-DATEVALUE(B5)</f>
        <v>37</v>
      </c>
      <c r="D26">
        <f>C26/365.25</f>
        <v>0.10130047912388775</v>
      </c>
      <c r="E26">
        <v>200</v>
      </c>
      <c r="F26">
        <v>2.77</v>
      </c>
      <c r="G26">
        <v>2.85</v>
      </c>
      <c r="H26">
        <f>(F26+G26)/2</f>
        <v>2.81</v>
      </c>
      <c r="I26">
        <f>AE26</f>
        <v>0.41438071362391815</v>
      </c>
      <c r="J26">
        <v>0.4061338684082031</v>
      </c>
      <c r="K26">
        <f>ABS(I26-J26)</f>
        <v>0.00824684521571506</v>
      </c>
      <c r="L26">
        <f>-_xlfn.NORM.S.DIST(-AD26, TRUE)</f>
        <v>-0.16781563974107622</v>
      </c>
      <c r="M26">
        <f>B3 * SQRT(D26) * _xlfn.NORM.S.DIST(AD26, FALSE) / 100</f>
        <v>0.17899152245761324</v>
      </c>
      <c r="N26">
        <v>0.4</v>
      </c>
      <c r="O26">
        <f>(LN(B3/E26) + (B4 + 0.5 * N26 * N26) * D26) / (N26 * SQRT(D26))</f>
        <v>0.9927893508263768</v>
      </c>
      <c r="P26">
        <f>O26 - N26 * SQRT(D26)</f>
        <v>0.8654784060501242</v>
      </c>
      <c r="Q26">
        <f>E26 * EXP(-B4 * D26) * _xlfn.NORM.S.DIST(-P26, TRUE) - B3 * _xlfn.NORM.S.DIST(-O26, TRUE)</f>
        <v>2.5562646845248267</v>
      </c>
      <c r="R26">
        <f>B3 * SQRT(D26) * _xlfn.NORM.S.DIST(O26, FALSE)</f>
        <v>17.382462699436136</v>
      </c>
      <c r="S26">
        <f>IF(R26 &gt; 0.00001, MAX(0.001, N26 - (Q26 - H26) / R26), N26)</f>
        <v>0.4145972017810459</v>
      </c>
      <c r="T26">
        <f>(LN(B3/E26) + (B4 + 0.5 * S26 * S26) * D26) / (S26 * SQRT(D26))</f>
        <v>0.9623992423631597</v>
      </c>
      <c r="U26">
        <f>T26 - S26 * SQRT(D26)</f>
        <v>0.8304423387123206</v>
      </c>
      <c r="V26">
        <f>E26 * EXP(-B4 * D26) * _xlfn.NORM.S.DIST(-U26, TRUE) - B3 * _xlfn.NORM.S.DIST(-T26, TRUE)</f>
        <v>2.813875764001949</v>
      </c>
      <c r="W26">
        <f>B3 * SQRT(D26) * _xlfn.NORM.S.DIST(T26, FALSE)</f>
        <v>17.9066294358727</v>
      </c>
      <c r="X26">
        <f>IF(W26 &gt; 0.00001, MAX(0.001, S26 - (V26 - H26) / W26), S26)</f>
        <v>0.41438075881416436</v>
      </c>
      <c r="Y26">
        <f>(LN(B3/E26) + (B4 + 0.5 * X26 * X26) * D26) / (X26 * SQRT(D26))</f>
        <v>0.9628330242293542</v>
      </c>
      <c r="Z26">
        <f>Y26 - X26 * SQRT(D26)</f>
        <v>0.8309450094750249</v>
      </c>
      <c r="AA26">
        <f>E26 * EXP(-B4 * D26) * _xlfn.NORM.S.DIST(-Z26, TRUE) - B3 * _xlfn.NORM.S.DIST(-Y26, TRUE)</f>
        <v>2.81000080886713</v>
      </c>
      <c r="AB26">
        <f>B3 * SQRT(D26) * _xlfn.NORM.S.DIST(Y26, FALSE)</f>
        <v>17.899153807473226</v>
      </c>
      <c r="AC26">
        <f>IF(AB26 &gt; 0.00001, MAX(0.001, X26 - (AA26 - H26) / AB26), X26)</f>
        <v>0.41438071362392026</v>
      </c>
      <c r="AD26">
        <f>(LN(B3/E26) + (B4 + 0.5 * AC26 * AC26) * D26) / (AC26 * SQRT(D26))</f>
        <v>0.9628331148479735</v>
      </c>
      <c r="AE26">
        <f>IF(AB26 &gt; 0.00001, MAX(0.001, AC26 - ((E26 * EXP(-B4 * D26) * _xlfn.NORM.S.DIST(-(AD26 - AC26 * SQRT(D26)), TRUE) - B3 * _xlfn.NORM.S.DIST(-AD26, TRUE)) - H26) / (B3 * SQRT(D26) * _xlfn.NORM.S.DIST(AD26, FALSE))), AC26)</f>
        <v>0.41438071362391815</v>
      </c>
    </row>
    <row r="27" spans="1:31">
      <c r="A27" t="s">
        <v>58</v>
      </c>
      <c r="B27" t="s">
        <v>52</v>
      </c>
      <c r="C27">
        <f>DATEVALUE(B27)-DATEVALUE(B5)</f>
        <v>37</v>
      </c>
      <c r="D27">
        <f>C27/365.25</f>
        <v>0.10130047912388775</v>
      </c>
      <c r="E27">
        <v>210</v>
      </c>
      <c r="F27">
        <v>5.05</v>
      </c>
      <c r="G27">
        <v>5.2</v>
      </c>
      <c r="H27">
        <f>(F27+G27)/2</f>
        <v>5.125</v>
      </c>
      <c r="I27">
        <f>AE27</f>
        <v>0.40254539648983145</v>
      </c>
      <c r="J27">
        <v>0.3927673028564453</v>
      </c>
      <c r="K27">
        <f>ABS(I27-J27)</f>
        <v>0.009778093633386165</v>
      </c>
      <c r="L27">
        <f>-_xlfn.NORM.S.DIST(-AD27, TRUE)</f>
        <v>-0.27208927980591646</v>
      </c>
      <c r="M27">
        <f>B3 * SQRT(D27) * _xlfn.NORM.S.DIST(AD27, FALSE) / 100</f>
        <v>0.2367340276293824</v>
      </c>
      <c r="N27">
        <v>0.4</v>
      </c>
      <c r="O27">
        <f>(LN(B3/E27) + (B4 + 0.5 * N27 * N27) * D27) / (N27 * SQRT(D27))</f>
        <v>0.6095531392407973</v>
      </c>
      <c r="P27">
        <f>O27 - N27 * SQRT(D27)</f>
        <v>0.48224219446454475</v>
      </c>
      <c r="Q27">
        <f>E27 * EXP(-B4 * D27) * _xlfn.NORM.S.DIST(-P27, TRUE) - B3 * _xlfn.NORM.S.DIST(-O27, TRUE)</f>
        <v>5.064797404210459</v>
      </c>
      <c r="R27">
        <f>B3 * SQRT(D27) * _xlfn.NORM.S.DIST(O27, FALSE)</f>
        <v>23.629587629358475</v>
      </c>
      <c r="S27">
        <f>IF(R27 &gt; 0.00001, MAX(0.001, N27 - (Q27 - H27) / R27), N27)</f>
        <v>0.4025477632844825</v>
      </c>
      <c r="T27">
        <f>(LN(B3/E27) + (B4 + 0.5 * S27 * S27) * D27) / (S27 * SQRT(D27))</f>
        <v>0.6065035483983737</v>
      </c>
      <c r="U27">
        <f>T27 - S27 * SQRT(D27)</f>
        <v>0.47838170824508686</v>
      </c>
      <c r="V27">
        <f>E27 * EXP(-B4 * D27) * _xlfn.NORM.S.DIST(-U27, TRUE) - B3 * _xlfn.NORM.S.DIST(-T27, TRUE)</f>
        <v>5.125056030130828</v>
      </c>
      <c r="W27">
        <f>B3 * SQRT(D27) * _xlfn.NORM.S.DIST(T27, FALSE)</f>
        <v>23.673443147561194</v>
      </c>
      <c r="X27">
        <f>IF(W27 &gt; 0.00001, MAX(0.001, S27 - (V27 - H27) / W27), S27)</f>
        <v>0.40254539649184995</v>
      </c>
      <c r="Y27">
        <f>(LN(B3/E27) + (B4 + 0.5 * X27 * X27) * D27) / (X27 * SQRT(D27))</f>
        <v>0.6065063610778976</v>
      </c>
      <c r="Z27">
        <f>Y27 - X27 * SQRT(D27)</f>
        <v>0.47838527422112603</v>
      </c>
      <c r="AA27">
        <f>E27 * EXP(-B4 * D27) * _xlfn.NORM.S.DIST(-Z27, TRUE) - B3 * _xlfn.NORM.S.DIST(-Y27, TRUE)</f>
        <v>5.125000000047791</v>
      </c>
      <c r="AB27">
        <f>B3 * SQRT(D27) * _xlfn.NORM.S.DIST(Y27, FALSE)</f>
        <v>23.67340276297268</v>
      </c>
      <c r="AC27">
        <f>IF(AB27 &gt; 0.00001, MAX(0.001, X27 - (AA27 - H27) / AB27), X27)</f>
        <v>0.4025453964898312</v>
      </c>
      <c r="AD27">
        <f>(LN(B3/E27) + (B4 + 0.5 * AC27 * AC27) * D27) / (AC27 * SQRT(D27))</f>
        <v>0.6065063610802967</v>
      </c>
      <c r="AE27">
        <f>IF(AB27 &gt; 0.00001, MAX(0.001, AC27 - ((E27 * EXP(-B4 * D27) * _xlfn.NORM.S.DIST(-(AD27 - AC27 * SQRT(D27)), TRUE) - B3 * _xlfn.NORM.S.DIST(-AD27, TRUE)) - H27) / (B3 * SQRT(D27) * _xlfn.NORM.S.DIST(AD27, FALSE))), AC27)</f>
        <v>0.40254539648983145</v>
      </c>
    </row>
    <row r="28" spans="1:31">
      <c r="A28" t="s">
        <v>59</v>
      </c>
      <c r="B28" t="s">
        <v>52</v>
      </c>
      <c r="C28">
        <f>DATEVALUE(B28)-DATEVALUE(B5)</f>
        <v>37</v>
      </c>
      <c r="D28">
        <f>C28/365.25</f>
        <v>0.10130047912388775</v>
      </c>
      <c r="E28">
        <v>215</v>
      </c>
      <c r="F28">
        <v>6.7</v>
      </c>
      <c r="G28">
        <v>6.85</v>
      </c>
      <c r="H28">
        <f>(F28+G28)/2</f>
        <v>6.775</v>
      </c>
      <c r="I28">
        <f>AE28</f>
        <v>0.3990298142184008</v>
      </c>
      <c r="J28">
        <v>0.3873352282714844</v>
      </c>
      <c r="K28">
        <f>ABS(I28-J28)</f>
        <v>0.011694585946916358</v>
      </c>
      <c r="L28">
        <f>-_xlfn.NORM.S.DIST(-AD28, TRUE)</f>
        <v>-0.33525445604541043</v>
      </c>
      <c r="M28">
        <f>B3 * SQRT(D28) * _xlfn.NORM.S.DIST(AD28, FALSE) / 100</f>
        <v>0.2599160103127422</v>
      </c>
      <c r="N28">
        <v>0.4</v>
      </c>
      <c r="O28">
        <f>(LN(B3/E28) + (B4 + 0.5 * N28 * N28) * D28) / (N28 * SQRT(D28))</f>
        <v>0.4247261595058755</v>
      </c>
      <c r="P28">
        <f>O28 - N28 * SQRT(D28)</f>
        <v>0.2974152147296229</v>
      </c>
      <c r="Q28">
        <f>E28 * EXP(-B4 * D28) * _xlfn.NORM.S.DIST(-P28, TRUE) - B3 * _xlfn.NORM.S.DIST(-O28, TRUE)</f>
        <v>6.800220564774094</v>
      </c>
      <c r="R28">
        <f>B3 * SQRT(D28) * _xlfn.NORM.S.DIST(O28, FALSE)</f>
        <v>25.999595998792806</v>
      </c>
      <c r="S28">
        <f>IF(R28 &gt; 0.00001, MAX(0.001, N28 - (Q28 - H28) / R28), N28)</f>
        <v>0.39902996320499506</v>
      </c>
      <c r="T28">
        <f>(LN(B3/E28) + (B4 + 0.5 * S28 * S28) * D28) / (S28 * SQRT(D28))</f>
        <v>0.4254495474046398</v>
      </c>
      <c r="U28">
        <f>T28 - S28 * SQRT(D28)</f>
        <v>0.29844734338048673</v>
      </c>
      <c r="V28">
        <f>E28 * EXP(-B4 * D28) * _xlfn.NORM.S.DIST(-U28, TRUE) - B3 * _xlfn.NORM.S.DIST(-T28, TRUE)</f>
        <v>6.775003872400205</v>
      </c>
      <c r="W28">
        <f>B3 * SQRT(D28) * _xlfn.NORM.S.DIST(T28, FALSE)</f>
        <v>25.991602263501342</v>
      </c>
      <c r="X28">
        <f>IF(W28 &gt; 0.00001, MAX(0.001, S28 - (V28 - H28) / W28), S28)</f>
        <v>0.3990298142184045</v>
      </c>
      <c r="Y28">
        <f>(LN(B3/E28) + (B4 + 0.5 * X28 * X28) * D28) / (X28 * SQRT(D28))</f>
        <v>0.42544965883655317</v>
      </c>
      <c r="Z28">
        <f>Y28 - X28 * SQRT(D28)</f>
        <v>0.2984475022314591</v>
      </c>
      <c r="AA28">
        <f>E28 * EXP(-B4 * D28) * _xlfn.NORM.S.DIST(-Z28, TRUE) - B3 * _xlfn.NORM.S.DIST(-Y28, TRUE)</f>
        <v>6.775000000000091</v>
      </c>
      <c r="AB28">
        <f>B3 * SQRT(D28) * _xlfn.NORM.S.DIST(Y28, FALSE)</f>
        <v>25.99160103127425</v>
      </c>
      <c r="AC28">
        <f>IF(AB28 &gt; 0.00001, MAX(0.001, X28 - (AA28 - H28) / AB28), X28)</f>
        <v>0.399029814218401</v>
      </c>
      <c r="AD28">
        <f>(LN(B3/E28) + (B4 + 0.5 * AC28 * AC28) * D28) / (AC28 * SQRT(D28))</f>
        <v>0.42544965883655583</v>
      </c>
      <c r="AE28">
        <f>IF(AB28 &gt; 0.00001, MAX(0.001, AC28 - ((E28 * EXP(-B4 * D28) * _xlfn.NORM.S.DIST(-(AD28 - AC28 * SQRT(D28)), TRUE) - B3 * _xlfn.NORM.S.DIST(-AD28, TRUE)) - H28) / (B3 * SQRT(D28) * _xlfn.NORM.S.DIST(AD28, FALSE))), AC28)</f>
        <v>0.3990298142184008</v>
      </c>
    </row>
    <row r="29" spans="1:31">
      <c r="A29" t="s">
        <v>60</v>
      </c>
      <c r="B29" t="s">
        <v>52</v>
      </c>
      <c r="C29">
        <f>DATEVALUE(B29)-DATEVALUE(B5)</f>
        <v>37</v>
      </c>
      <c r="D29">
        <f>C29/365.25</f>
        <v>0.10130047912388775</v>
      </c>
      <c r="E29">
        <v>220</v>
      </c>
      <c r="F29">
        <v>8.7</v>
      </c>
      <c r="G29">
        <v>8.85</v>
      </c>
      <c r="H29">
        <f>(F29+G29)/2</f>
        <v>8.774999999999999</v>
      </c>
      <c r="I29">
        <f>AE29</f>
        <v>0.39613562478067765</v>
      </c>
      <c r="J29">
        <v>0.3822083264160155</v>
      </c>
      <c r="K29">
        <f>ABS(I29-J29)</f>
        <v>0.013927298364662166</v>
      </c>
      <c r="L29">
        <f>-_xlfn.NORM.S.DIST(-AD29, TRUE)</f>
        <v>-0.40311431152326976</v>
      </c>
      <c r="M29">
        <f>B3 * SQRT(D29) * _xlfn.NORM.S.DIST(AD29, FALSE) / 100</f>
        <v>0.2761040035755922</v>
      </c>
      <c r="N29">
        <v>0.4</v>
      </c>
      <c r="O29">
        <f>(LN(B3/E29) + (B4 + 0.5 * N29 * N29) * D29) / (N29 * SQRT(D29))</f>
        <v>0.2441484545402699</v>
      </c>
      <c r="P29">
        <f>O29 - N29 * SQRT(D29)</f>
        <v>0.1168375097640173</v>
      </c>
      <c r="Q29">
        <f>E29 * EXP(-B4 * D29) * _xlfn.NORM.S.DIST(-P29, TRUE) - B3 * _xlfn.NORM.S.DIST(-O29, TRUE)</f>
        <v>8.88171199302235</v>
      </c>
      <c r="R29">
        <f>B3 * SQRT(D29) * _xlfn.NORM.S.DIST(O29, FALSE)</f>
        <v>27.618143246285708</v>
      </c>
      <c r="S29">
        <f>IF(R29 &gt; 0.00001, MAX(0.001, N29 - (Q29 - H29) / R29), N29)</f>
        <v>0.3961361633882936</v>
      </c>
      <c r="T29">
        <f>(LN(B3/E29) + (B4 + 0.5 * S29 * S29) * D29) / (S29 * SQRT(D29))</f>
        <v>0.24529406281412772</v>
      </c>
      <c r="U29">
        <f>T29 - S29 * SQRT(D29)</f>
        <v>0.11921288976161865</v>
      </c>
      <c r="V29">
        <f>E29 * EXP(-B4 * D29) * _xlfn.NORM.S.DIST(-U29, TRUE) - B3 * _xlfn.NORM.S.DIST(-T29, TRUE)</f>
        <v>8.775014871172203</v>
      </c>
      <c r="W29">
        <f>B3 * SQRT(D29) * _xlfn.NORM.S.DIST(T29, FALSE)</f>
        <v>27.610401455330866</v>
      </c>
      <c r="X29">
        <f>IF(W29 &gt; 0.00001, MAX(0.001, S29 - (V29 - H29) / W29), S29)</f>
        <v>0.3961356247806885</v>
      </c>
      <c r="Y29">
        <f>(LN(B3/E29) + (B4 + 0.5 * X29 * X29) * D29) / (X29 * SQRT(D29))</f>
        <v>0.24529422490259237</v>
      </c>
      <c r="Z29">
        <f>Y29 - X29 * SQRT(D29)</f>
        <v>0.11921322327669098</v>
      </c>
      <c r="AA29">
        <f>E29 * EXP(-B4 * D29) * _xlfn.NORM.S.DIST(-Z29, TRUE) - B3 * _xlfn.NORM.S.DIST(-Y29, TRUE)</f>
        <v>8.775000000000276</v>
      </c>
      <c r="AB29">
        <f>B3 * SQRT(D29) * _xlfn.NORM.S.DIST(Y29, FALSE)</f>
        <v>27.610400357559243</v>
      </c>
      <c r="AC29">
        <f>IF(AB29 &gt; 0.00001, MAX(0.001, X29 - (AA29 - H29) / AB29), X29)</f>
        <v>0.39613562478067843</v>
      </c>
      <c r="AD29">
        <f>(LN(B3/E29) + (B4 + 0.5 * AC29 * AC29) * D29) / (AC29 * SQRT(D29))</f>
        <v>0.2452942249025954</v>
      </c>
      <c r="AE29">
        <f>IF(AB29 &gt; 0.00001, MAX(0.001, AC29 - ((E29 * EXP(-B4 * D29) * _xlfn.NORM.S.DIST(-(AD29 - AC29 * SQRT(D29)), TRUE) - B3 * _xlfn.NORM.S.DIST(-AD29, TRUE)) - H29) / (B3 * SQRT(D29) * _xlfn.NORM.S.DIST(AD29, FALSE))), AC29)</f>
        <v>0.39613562478067765</v>
      </c>
    </row>
    <row r="30" spans="1:31">
      <c r="A30" t="s">
        <v>61</v>
      </c>
      <c r="B30" t="s">
        <v>52</v>
      </c>
      <c r="C30">
        <f>DATEVALUE(B30)-DATEVALUE(B5)</f>
        <v>37</v>
      </c>
      <c r="D30">
        <f>C30/365.25</f>
        <v>0.10130047912388775</v>
      </c>
      <c r="E30">
        <v>225</v>
      </c>
      <c r="F30">
        <v>11.1</v>
      </c>
      <c r="G30">
        <v>11.25</v>
      </c>
      <c r="H30">
        <f>(F30+G30)/2</f>
        <v>11.175</v>
      </c>
      <c r="I30">
        <f>AE30</f>
        <v>0.39509206046047207</v>
      </c>
      <c r="J30">
        <v>0.3785462536621094</v>
      </c>
      <c r="K30">
        <f>ABS(I30-J30)</f>
        <v>0.01654580679836265</v>
      </c>
      <c r="L30">
        <f>-_xlfn.NORM.S.DIST(-AD30, TRUE)</f>
        <v>-0.47333171593625206</v>
      </c>
      <c r="M30">
        <f>B3 * SQRT(D30) * _xlfn.NORM.S.DIST(AD30, FALSE) / 100</f>
        <v>0.28390072600244304</v>
      </c>
      <c r="N30">
        <v>0.4</v>
      </c>
      <c r="O30">
        <f>(LN(B3/E30) + (B4 + 0.5 * N30 * N30) * D30) / (N30 * SQRT(D30))</f>
        <v>0.06762902102609457</v>
      </c>
      <c r="P30">
        <f>O30 - N30 * SQRT(D30)</f>
        <v>-0.05968192375015803</v>
      </c>
      <c r="Q30">
        <f>E30 * EXP(-B4 * D30) * _xlfn.NORM.S.DIST(-P30, TRUE) - B3 * _xlfn.NORM.S.DIST(-O30, TRUE)</f>
        <v>11.314333338319216</v>
      </c>
      <c r="R30">
        <f>B3 * SQRT(D30) * _xlfn.NORM.S.DIST(O30, FALSE)</f>
        <v>28.388675408854798</v>
      </c>
      <c r="S30">
        <f>IF(R30 &gt; 0.00001, MAX(0.001, N30 - (Q30 - H30) / R30), N30)</f>
        <v>0.3950919394331532</v>
      </c>
      <c r="T30">
        <f>(LN(B3/E30) + (B4 + 0.5 * S30 * S30) * D30) / (S30 * SQRT(D30))</f>
        <v>0.06689732046058433</v>
      </c>
      <c r="U30">
        <f>T30 - S30 * SQRT(D30)</f>
        <v>-0.05885149974620743</v>
      </c>
      <c r="V30">
        <f>E30 * EXP(-B4 * D30) * _xlfn.NORM.S.DIST(-U30, TRUE) - B3 * _xlfn.NORM.S.DIST(-T30, TRUE)</f>
        <v>11.17499656402562</v>
      </c>
      <c r="W30">
        <f>B3 * SQRT(D30) * _xlfn.NORM.S.DIST(T30, FALSE)</f>
        <v>28.390072634483065</v>
      </c>
      <c r="X30">
        <f>IF(W30 &gt; 0.00001, MAX(0.001, S30 - (V30 - H30) / W30), S30)</f>
        <v>0.39509206046047235</v>
      </c>
      <c r="Y30">
        <f>(LN(B3/E30) + (B4 + 0.5 * X30 * X30) * D30) / (X30 * SQRT(D30))</f>
        <v>0.06689733848838669</v>
      </c>
      <c r="Z30">
        <f>Y30 - X30 * SQRT(D30)</f>
        <v>-0.058851520238660915</v>
      </c>
      <c r="AA30">
        <f>E30 * EXP(-B4 * D30) * _xlfn.NORM.S.DIST(-Z30, TRUE) - B3 * _xlfn.NORM.S.DIST(-Y30, TRUE)</f>
        <v>11.175000000000026</v>
      </c>
      <c r="AB30">
        <f>B3 * SQRT(D30) * _xlfn.NORM.S.DIST(Y30, FALSE)</f>
        <v>28.390072600244302</v>
      </c>
      <c r="AC30">
        <f>IF(AB30 &gt; 0.00001, MAX(0.001, X30 - (AA30 - H30) / AB30), X30)</f>
        <v>0.39509206046047146</v>
      </c>
      <c r="AD30">
        <f>(LN(B3/E30) + (B4 + 0.5 * AC30 * AC30) * D30) / (AC30 * SQRT(D30))</f>
        <v>0.06689733848838654</v>
      </c>
      <c r="AE30">
        <f>IF(AB30 &gt; 0.00001, MAX(0.001, AC30 - ((E30 * EXP(-B4 * D30) * _xlfn.NORM.S.DIST(-(AD30 - AC30 * SQRT(D30)), TRUE) - B3 * _xlfn.NORM.S.DIST(-AD30, TRUE)) - H30) / (B3 * SQRT(D30) * _xlfn.NORM.S.DIST(AD30, FALSE))), AC30)</f>
        <v>0.39509206046047207</v>
      </c>
    </row>
    <row r="31" spans="1:31">
      <c r="A31" t="s">
        <v>62</v>
      </c>
      <c r="B31" t="s">
        <v>52</v>
      </c>
      <c r="C31">
        <f>DATEVALUE(B31)-DATEVALUE(B5)</f>
        <v>37</v>
      </c>
      <c r="D31">
        <f>C31/365.25</f>
        <v>0.10130047912388775</v>
      </c>
      <c r="E31">
        <v>230</v>
      </c>
      <c r="F31">
        <v>13.85</v>
      </c>
      <c r="G31">
        <v>14</v>
      </c>
      <c r="H31">
        <f>(F31+G31)/2</f>
        <v>13.925</v>
      </c>
      <c r="I31">
        <f>AE31</f>
        <v>0.3940934625497101</v>
      </c>
      <c r="J31">
        <v>0.3743959045410156</v>
      </c>
      <c r="K31">
        <f>ABS(I31-J31)</f>
        <v>0.019697558008694493</v>
      </c>
      <c r="L31">
        <f>-_xlfn.NORM.S.DIST(-AD31, TRUE)</f>
        <v>-0.5431918993378327</v>
      </c>
      <c r="M31">
        <f>B3 * SQRT(D31) * _xlfn.NORM.S.DIST(AD31, FALSE) / 100</f>
        <v>0.2828674644212939</v>
      </c>
      <c r="N31">
        <v>0.4</v>
      </c>
      <c r="O31">
        <f>(LN(B3/E31) + (B4 + 0.5 * N31 * N31) * D31) / (N31 * SQRT(D31))</f>
        <v>-0.10501054863072401</v>
      </c>
      <c r="P31">
        <f>O31 - N31 * SQRT(D31)</f>
        <v>-0.2323214934069766</v>
      </c>
      <c r="Q31">
        <f>E31 * EXP(-B4 * D31) * _xlfn.NORM.S.DIST(-P31, TRUE) - B3 * _xlfn.NORM.S.DIST(-O31, TRUE)</f>
        <v>14.092107934164247</v>
      </c>
      <c r="R31">
        <f>B3 * SQRT(D31) * _xlfn.NORM.S.DIST(O31, FALSE)</f>
        <v>28.297219445566512</v>
      </c>
      <c r="S31">
        <f>IF(R31 &gt; 0.00001, MAX(0.001, N31 - (Q31 - H31) / R31), N31)</f>
        <v>0.39409454577381003</v>
      </c>
      <c r="T31">
        <f>(LN(B3/E31) + (B4 + 0.5 * S31 * S31) * D31) / (S31 * SQRT(D31))</f>
        <v>-0.10847777266456245</v>
      </c>
      <c r="U31">
        <f>T31 - S31 * SQRT(D31)</f>
        <v>-0.23390914504864213</v>
      </c>
      <c r="V31">
        <f>E31 * EXP(-B4 * D31) * _xlfn.NORM.S.DIST(-U31, TRUE) - B3 * _xlfn.NORM.S.DIST(-T31, TRUE)</f>
        <v>13.925030640886547</v>
      </c>
      <c r="W31">
        <f>B3 * SQRT(D31) * _xlfn.NORM.S.DIST(T31, FALSE)</f>
        <v>28.28674841496557</v>
      </c>
      <c r="X31">
        <f>IF(W31 &gt; 0.00001, MAX(0.001, S31 - (V31 - H31) / W31), S31)</f>
        <v>0.3940934625497471</v>
      </c>
      <c r="Y31">
        <f>(LN(B3/E31) + (B4 + 0.5 * X31 * X31) * D31) / (X31 * SQRT(D31))</f>
        <v>-0.10847841559790646</v>
      </c>
      <c r="Z31">
        <f>Y31 - X31 * SQRT(D31)</f>
        <v>-0.23390944321628904</v>
      </c>
      <c r="AA31">
        <f>E31 * EXP(-B4 * D31) * _xlfn.NORM.S.DIST(-Z31, TRUE) - B3 * _xlfn.NORM.S.DIST(-Y31, TRUE)</f>
        <v>13.925000000001063</v>
      </c>
      <c r="AB31">
        <f>B3 * SQRT(D31) * _xlfn.NORM.S.DIST(Y31, FALSE)</f>
        <v>28.28674644212946</v>
      </c>
      <c r="AC31">
        <f>IF(AB31 &gt; 0.00001, MAX(0.001, X31 - (AA31 - H31) / AB31), X31)</f>
        <v>0.3940934625497095</v>
      </c>
      <c r="AD31">
        <f>(LN(B3/E31) + (B4 + 0.5 * AC31 * AC31) * D31) / (AC31 * SQRT(D31))</f>
        <v>-0.10847841559792877</v>
      </c>
      <c r="AE31">
        <f>IF(AB31 &gt; 0.00001, MAX(0.001, AC31 - ((E31 * EXP(-B4 * D31) * _xlfn.NORM.S.DIST(-(AD31 - AC31 * SQRT(D31)), TRUE) - B3 * _xlfn.NORM.S.DIST(-AD31, TRUE)) - H31) / (B3 * SQRT(D31) * _xlfn.NORM.S.DIST(AD31, FALSE))), AC31)</f>
        <v>0.3940934625497101</v>
      </c>
    </row>
    <row r="32" spans="1:31">
      <c r="A32" t="s">
        <v>63</v>
      </c>
      <c r="B32" t="s">
        <v>52</v>
      </c>
      <c r="C32">
        <f>DATEVALUE(B32)-DATEVALUE(B5)</f>
        <v>37</v>
      </c>
      <c r="D32">
        <f>C32/365.25</f>
        <v>0.10130047912388775</v>
      </c>
      <c r="E32">
        <v>240</v>
      </c>
      <c r="F32">
        <v>20.2</v>
      </c>
      <c r="G32">
        <v>20.7</v>
      </c>
      <c r="H32">
        <f>(F32+G32)/2</f>
        <v>20.45</v>
      </c>
      <c r="I32">
        <f>AE32</f>
        <v>0.393712825755319</v>
      </c>
      <c r="J32">
        <v>0.3721986608886719</v>
      </c>
      <c r="K32">
        <f>ABS(I32-J32)</f>
        <v>0.021514164866647145</v>
      </c>
      <c r="L32">
        <f>-_xlfn.NORM.S.DIST(-AD32, TRUE)</f>
        <v>-0.6730458816986703</v>
      </c>
      <c r="M32">
        <f>B3 * SQRT(D32) * _xlfn.NORM.S.DIST(AD32, FALSE) / 100</f>
        <v>0.2573296938870367</v>
      </c>
      <c r="N32">
        <v>0.4</v>
      </c>
      <c r="O32">
        <f>(LN(B3/E32) + (B4 + 0.5 * N32 * N32) * D32) / (N32 * SQRT(D32))</f>
        <v>-0.4393071363561072</v>
      </c>
      <c r="P32">
        <f>O32 - N32 * SQRT(D32)</f>
        <v>-0.5666180811323598</v>
      </c>
      <c r="Q32">
        <f>E32 * EXP(-B4 * D32) * _xlfn.NORM.S.DIST(-P32, TRUE) - B3 * _xlfn.NORM.S.DIST(-O32, TRUE)</f>
        <v>20.61211500721015</v>
      </c>
      <c r="R32">
        <f>B3 * SQRT(D32) * _xlfn.NORM.S.DIST(O32, FALSE)</f>
        <v>25.83633345397343</v>
      </c>
      <c r="S32">
        <f>IF(R32 &gt; 0.00001, MAX(0.001, N32 - (Q32 - H32) / R32), N32)</f>
        <v>0.39372530906914666</v>
      </c>
      <c r="T32">
        <f>(LN(B3/E32) + (B4 + 0.5 * S32 * S32) * D32) / (S32 * SQRT(D32))</f>
        <v>-0.4483212578398377</v>
      </c>
      <c r="U32">
        <f>T32 - S32 * SQRT(D32)</f>
        <v>-0.5736351105396255</v>
      </c>
      <c r="V32">
        <f>E32 * EXP(-B4 * D32) * _xlfn.NORM.S.DIST(-U32, TRUE) - B3 * _xlfn.NORM.S.DIST(-T32, TRUE)</f>
        <v>20.45032123404235</v>
      </c>
      <c r="W32">
        <f>B3 * SQRT(D32) * _xlfn.NORM.S.DIST(T32, FALSE)</f>
        <v>25.733179221980514</v>
      </c>
      <c r="X32">
        <f>IF(W32 &gt; 0.00001, MAX(0.001, S32 - (V32 - H32) / W32), S32)</f>
        <v>0.3937128258062129</v>
      </c>
      <c r="Y32">
        <f>(LN(B3/E32) + (B4 + 0.5 * X32 * X32) * D32) / (X32 * SQRT(D32))</f>
        <v>-0.4483394457490056</v>
      </c>
      <c r="Z32">
        <f>Y32 - X32 * SQRT(D32)</f>
        <v>-0.5736493253087984</v>
      </c>
      <c r="AA32">
        <f>E32 * EXP(-B4 * D32) * _xlfn.NORM.S.DIST(-Z32, TRUE) - B3 * _xlfn.NORM.S.DIST(-Y32, TRUE)</f>
        <v>20.45000000130966</v>
      </c>
      <c r="AB32">
        <f>B3 * SQRT(D32) * _xlfn.NORM.S.DIST(Y32, FALSE)</f>
        <v>25.732969389559194</v>
      </c>
      <c r="AC32">
        <f>IF(AB32 &gt; 0.00001, MAX(0.001, X32 - (AA32 - H32) / AB32), X32)</f>
        <v>0.39371282575531863</v>
      </c>
      <c r="AD32">
        <f>(LN(B3/E32) + (B4 + 0.5 * AC32 * AC32) * D32) / (AC32 * SQRT(D32))</f>
        <v>-0.4483394458231598</v>
      </c>
      <c r="AE32">
        <f>IF(AB32 &gt; 0.00001, MAX(0.001, AC32 - ((E32 * EXP(-B4 * D32) * _xlfn.NORM.S.DIST(-(AD32 - AC32 * SQRT(D32)), TRUE) - B3 * _xlfn.NORM.S.DIST(-AD32, TRUE)) - H32) / (B3 * SQRT(D32) * _xlfn.NORM.S.DIST(AD32, FALSE))), AC32)</f>
        <v>0.393712825755319</v>
      </c>
    </row>
    <row r="33" spans="1:31">
      <c r="A33" t="s">
        <v>64</v>
      </c>
      <c r="B33" t="s">
        <v>65</v>
      </c>
      <c r="C33">
        <f>DATEVALUE(B33)-DATEVALUE(B5)</f>
        <v>100</v>
      </c>
      <c r="D33">
        <f>C33/365.25</f>
        <v>0.2737850787132101</v>
      </c>
      <c r="E33">
        <v>150</v>
      </c>
      <c r="F33">
        <v>1.11</v>
      </c>
      <c r="G33">
        <v>1.14</v>
      </c>
      <c r="H33">
        <f>(F33+G33)/2</f>
        <v>1.125</v>
      </c>
      <c r="I33">
        <f>AE33</f>
        <v>0.4976529033168057</v>
      </c>
      <c r="J33">
        <v>0.4865773999023438</v>
      </c>
      <c r="K33">
        <f>ABS(I33-J33)</f>
        <v>0.011075503414461896</v>
      </c>
      <c r="L33">
        <f>-_xlfn.NORM.S.DIST(-AD33, TRUE)</f>
        <v>-0.04281450533417034</v>
      </c>
      <c r="M33">
        <f>B3 * SQRT(D33) * _xlfn.NORM.S.DIST(AD33, FALSE) / 100</f>
        <v>0.10676669885103926</v>
      </c>
      <c r="N33">
        <v>0.4</v>
      </c>
      <c r="O33">
        <f>(LN(B3/E33) + (B4 + 0.5 * N33 * N33) * D33) / (N33 * SQRT(D33))</f>
        <v>2.081414048659899</v>
      </c>
      <c r="P33">
        <f>O33 - N33 * SQRT(D33)</f>
        <v>1.872116144718857</v>
      </c>
      <c r="Q33">
        <f>E33 * EXP(-B4 * D33) * _xlfn.NORM.S.DIST(-P33, TRUE) - B3 * _xlfn.NORM.S.DIST(-O33, TRUE)</f>
        <v>0.34305808573154817</v>
      </c>
      <c r="R33">
        <f>B3 * SQRT(D33) * _xlfn.NORM.S.DIST(O33, FALSE)</f>
        <v>5.36159266731316</v>
      </c>
      <c r="S33">
        <f>IF(R33 &gt; 0.00001, MAX(0.001, N33 - (Q33 - H33) / R33), N33)</f>
        <v>0.5458413502830128</v>
      </c>
      <c r="T33">
        <f>(LN(B3/E33) + (B4 + 0.5 * S33 * S33) * D33) / (S33 * SQRT(D33))</f>
        <v>1.5914047869894512</v>
      </c>
      <c r="U33">
        <f>T33 - S33 * SQRT(D33)</f>
        <v>1.3057961607429946</v>
      </c>
      <c r="V33">
        <f>E33 * EXP(-B4 * D33) * _xlfn.NORM.S.DIST(-U33, TRUE) - B3 * _xlfn.NORM.S.DIST(-T33, TRUE)</f>
        <v>1.7005731850257089</v>
      </c>
      <c r="W33">
        <f>B3 * SQRT(D33) * _xlfn.NORM.S.DIST(T33, FALSE)</f>
        <v>13.18551255728809</v>
      </c>
      <c r="X33">
        <f>IF(W33 &gt; 0.00001, MAX(0.001, S33 - (V33 - H33) / W33), S33)</f>
        <v>0.5021894116477135</v>
      </c>
      <c r="Y33">
        <f>(LN(B3/E33) + (B4 + 0.5 * X33 * X33) * D33) / (X33 * SQRT(D33))</f>
        <v>1.7059015323031075</v>
      </c>
      <c r="Z33">
        <f>Y33 - X33 * SQRT(D33)</f>
        <v>1.4431335542049788</v>
      </c>
      <c r="AA33">
        <f>E33 * EXP(-B4 * D33) * _xlfn.NORM.S.DIST(-Z33, TRUE) - B3 * _xlfn.NORM.S.DIST(-Y33, TRUE)</f>
        <v>1.173975084423006</v>
      </c>
      <c r="AB33">
        <f>B3 * SQRT(D33) * _xlfn.NORM.S.DIST(Y33, FALSE)</f>
        <v>10.917350060241892</v>
      </c>
      <c r="AC33">
        <f>IF(AB33 &gt; 0.00001, MAX(0.001, X33 - (AA33 - H33) / AB33), X33)</f>
        <v>0.497703425199284</v>
      </c>
      <c r="AD33">
        <f>(LN(B3/E33) + (B4 + 0.5 * AC33 * AC33) * D33) / (AC33 * SQRT(D33))</f>
        <v>1.7189196112385412</v>
      </c>
      <c r="AE33">
        <f>IF(AB33 &gt; 0.00001, MAX(0.001, AC33 - ((E33 * EXP(-B4 * D33) * _xlfn.NORM.S.DIST(-(AD33 - AC33 * SQRT(D33)), TRUE) - B3 * _xlfn.NORM.S.DIST(-AD33, TRUE)) - H33) / (B3 * SQRT(D33) * _xlfn.NORM.S.DIST(AD33, FALSE))), AC33)</f>
        <v>0.4976529033168057</v>
      </c>
    </row>
    <row r="34" spans="1:31">
      <c r="A34" t="s">
        <v>66</v>
      </c>
      <c r="B34" t="s">
        <v>65</v>
      </c>
      <c r="C34">
        <f>DATEVALUE(B34)-DATEVALUE(B5)</f>
        <v>100</v>
      </c>
      <c r="D34">
        <f>C34/365.25</f>
        <v>0.2737850787132101</v>
      </c>
      <c r="E34">
        <v>160</v>
      </c>
      <c r="F34">
        <v>1.62</v>
      </c>
      <c r="G34">
        <v>1.72</v>
      </c>
      <c r="H34">
        <f>(F34+G34)/2</f>
        <v>1.67</v>
      </c>
      <c r="I34">
        <f>AE34</f>
        <v>0.47381898713039416</v>
      </c>
      <c r="J34">
        <v>0.4636284106445313</v>
      </c>
      <c r="K34">
        <f>ABS(I34-J34)</f>
        <v>0.010190576485862857</v>
      </c>
      <c r="L34">
        <f>-_xlfn.NORM.S.DIST(-AD34, TRUE)</f>
        <v>-0.06270739035106487</v>
      </c>
      <c r="M34">
        <f>B3 * SQRT(D34) * _xlfn.NORM.S.DIST(AD34, FALSE) / 100</f>
        <v>0.1445763473624028</v>
      </c>
      <c r="N34">
        <v>0.4</v>
      </c>
      <c r="O34">
        <f>(LN(B3/E34) + (B4 + 0.5 * N34 * N34) * D34) / (N34 * SQRT(D34))</f>
        <v>1.773056822322117</v>
      </c>
      <c r="P34">
        <f>O34 - N34 * SQRT(D34)</f>
        <v>1.5637589183810752</v>
      </c>
      <c r="Q34">
        <f>E34 * EXP(-B4 * D34) * _xlfn.NORM.S.DIST(-P34, TRUE) - B3 * _xlfn.NORM.S.DIST(-O34, TRUE)</f>
        <v>0.774477942443129</v>
      </c>
      <c r="R34">
        <f>B3 * SQRT(D34) * _xlfn.NORM.S.DIST(O34, FALSE)</f>
        <v>9.713707611387711</v>
      </c>
      <c r="S34">
        <f>IF(R34 &gt; 0.00001, MAX(0.001, N34 - (Q34 - H34) / R34), N34)</f>
        <v>0.49219158053584194</v>
      </c>
      <c r="T34">
        <f>(LN(B3/E34) + (B4 + 0.5 * S34 * S34) * D34) / (S34 * SQRT(D34))</f>
        <v>1.4846695193964234</v>
      </c>
      <c r="U34">
        <f>T34 - S34 * SQRT(D34)</f>
        <v>1.2271328540374729</v>
      </c>
      <c r="V34">
        <f>E34 * EXP(-B4 * D34) * _xlfn.NORM.S.DIST(-U34, TRUE) - B3 * _xlfn.NORM.S.DIST(-T34, TRUE)</f>
        <v>1.9456190361532926</v>
      </c>
      <c r="W34">
        <f>B3 * SQRT(D34) * _xlfn.NORM.S.DIST(T34, FALSE)</f>
        <v>15.537889119804275</v>
      </c>
      <c r="X34">
        <f>IF(W34 &gt; 0.00001, MAX(0.001, S34 - (V34 - H34) / W34), S34)</f>
        <v>0.47445306830756284</v>
      </c>
      <c r="Y34">
        <f>(LN(B3/E34) + (B4 + 0.5 * X34 * X34) * D34) / (X34 * SQRT(D34))</f>
        <v>1.5307221921230312</v>
      </c>
      <c r="Z34">
        <f>Y34 - X34 * SQRT(D34)</f>
        <v>1.2824671103351089</v>
      </c>
      <c r="AA34">
        <f>E34 * EXP(-B4 * D34) * _xlfn.NORM.S.DIST(-Z34, TRUE) - B3 * _xlfn.NORM.S.DIST(-Y34, TRUE)</f>
        <v>1.6791793510484716</v>
      </c>
      <c r="AB34">
        <f>B3 * SQRT(D34) * _xlfn.NORM.S.DIST(Y34, FALSE)</f>
        <v>14.495642349234657</v>
      </c>
      <c r="AC34">
        <f>IF(AB34 &gt; 0.00001, MAX(0.001, X34 - (AA34 - H34) / AB34), X34)</f>
        <v>0.4738198193057374</v>
      </c>
      <c r="AD34">
        <f>(LN(B3/E34) + (B4 + 0.5 * AC34 * AC34) * D34) / (AC34 * SQRT(D34))</f>
        <v>1.5324364005543767</v>
      </c>
      <c r="AE34">
        <f>IF(AB34 &gt; 0.00001, MAX(0.001, AC34 - ((E34 * EXP(-B4 * D34) * _xlfn.NORM.S.DIST(-(AD34 - AC34 * SQRT(D34)), TRUE) - B3 * _xlfn.NORM.S.DIST(-AD34, TRUE)) - H34) / (B3 * SQRT(D34) * _xlfn.NORM.S.DIST(AD34, FALSE))), AC34)</f>
        <v>0.47381898713039416</v>
      </c>
    </row>
    <row r="35" spans="1:31">
      <c r="A35" t="s">
        <v>67</v>
      </c>
      <c r="B35" t="s">
        <v>65</v>
      </c>
      <c r="C35">
        <f>DATEVALUE(B35)-DATEVALUE(B5)</f>
        <v>100</v>
      </c>
      <c r="D35">
        <f>C35/365.25</f>
        <v>0.2737850787132101</v>
      </c>
      <c r="E35">
        <v>170</v>
      </c>
      <c r="F35">
        <v>2.45</v>
      </c>
      <c r="G35">
        <v>2.55</v>
      </c>
      <c r="H35">
        <f>(F35+G35)/2</f>
        <v>2.5</v>
      </c>
      <c r="I35">
        <f>AE35</f>
        <v>0.4542064780661259</v>
      </c>
      <c r="J35">
        <v>0.4419001123046875</v>
      </c>
      <c r="K35">
        <f>ABS(I35-J35)</f>
        <v>0.012306365761438398</v>
      </c>
      <c r="L35">
        <f>-_xlfn.NORM.S.DIST(-AD35, TRUE)</f>
        <v>-0.09125987345688316</v>
      </c>
      <c r="M35">
        <f>B3 * SQRT(D35) * _xlfn.NORM.S.DIST(AD35, FALSE) / 100</f>
        <v>0.19238429493905584</v>
      </c>
      <c r="N35">
        <v>0.4</v>
      </c>
      <c r="O35">
        <f>(LN(B3/E35) + (B4 + 0.5 * N35 * N35) * D35) / (N35 * SQRT(D35))</f>
        <v>1.4833997322371997</v>
      </c>
      <c r="P35">
        <f>O35 - N35 * SQRT(D35)</f>
        <v>1.2741018282961578</v>
      </c>
      <c r="Q35">
        <f>E35 * EXP(-B4 * D35) * _xlfn.NORM.S.DIST(-P35, TRUE) - B3 * _xlfn.NORM.S.DIST(-O35, TRUE)</f>
        <v>1.5537766297873787</v>
      </c>
      <c r="R35">
        <f>B3 * SQRT(D35) * _xlfn.NORM.S.DIST(O35, FALSE)</f>
        <v>15.567196448912254</v>
      </c>
      <c r="S35">
        <f>IF(R35 &gt; 0.00001, MAX(0.001, N35 - (Q35 - H35) / R35), N35)</f>
        <v>0.46078315856794744</v>
      </c>
      <c r="T35">
        <f>(LN(B3/E35) + (B4 + 0.5 * S35 * S35) * D35) / (S35 * SQRT(D35))</f>
        <v>1.3174272048314675</v>
      </c>
      <c r="U35">
        <f>T35 - S35 * SQRT(D35)</f>
        <v>1.076324831682457</v>
      </c>
      <c r="V35">
        <f>E35 * EXP(-B4 * D35) * _xlfn.NORM.S.DIST(-U35, TRUE) - B3 * _xlfn.NORM.S.DIST(-T35, TRUE)</f>
        <v>2.6278523682676003</v>
      </c>
      <c r="W35">
        <f>B3 * SQRT(D35) * _xlfn.NORM.S.DIST(T35, FALSE)</f>
        <v>19.640545379098985</v>
      </c>
      <c r="X35">
        <f>IF(W35 &gt; 0.00001, MAX(0.001, S35 - (V35 - H35) / W35), S35)</f>
        <v>0.45427354461376174</v>
      </c>
      <c r="Y35">
        <f>(LN(B3/E35) + (B4 + 0.5 * X35 * X35) * D35) / (X35 * SQRT(D35))</f>
        <v>1.3328750456631167</v>
      </c>
      <c r="Z35">
        <f>Y35 - X35 * SQRT(D35)</f>
        <v>1.0951787939042974</v>
      </c>
      <c r="AA35">
        <f>E35 * EXP(-B4 * D35) * _xlfn.NORM.S.DIST(-Z35, TRUE) - B3 * _xlfn.NORM.S.DIST(-Y35, TRUE)</f>
        <v>2.501290394099698</v>
      </c>
      <c r="AB35">
        <f>B3 * SQRT(D35) * _xlfn.NORM.S.DIST(Y35, FALSE)</f>
        <v>19.24257645535661</v>
      </c>
      <c r="AC35">
        <f>IF(AB35 &gt; 0.00001, MAX(0.001, X35 - (AA35 - H35) / AB35), X35)</f>
        <v>0.4542064852933692</v>
      </c>
      <c r="AD35">
        <f>(LN(B3/E35) + (B4 + 0.5 * AC35 * AC35) * D35) / (AC35 * SQRT(D35))</f>
        <v>1.3330367411133333</v>
      </c>
      <c r="AE35">
        <f>IF(AB35 &gt; 0.00001, MAX(0.001, AC35 - ((E35 * EXP(-B4 * D35) * _xlfn.NORM.S.DIST(-(AD35 - AC35 * SQRT(D35)), TRUE) - B3 * _xlfn.NORM.S.DIST(-AD35, TRUE)) - H35) / (B3 * SQRT(D35) * _xlfn.NORM.S.DIST(AD35, FALSE))), AC35)</f>
        <v>0.4542064780661259</v>
      </c>
    </row>
    <row r="36" spans="1:31">
      <c r="A36" t="s">
        <v>68</v>
      </c>
      <c r="B36" t="s">
        <v>65</v>
      </c>
      <c r="C36">
        <f>DATEVALUE(B36)-DATEVALUE(B5)</f>
        <v>100</v>
      </c>
      <c r="D36">
        <f>C36/365.25</f>
        <v>0.2737850787132101</v>
      </c>
      <c r="E36">
        <v>180</v>
      </c>
      <c r="F36">
        <v>3.65</v>
      </c>
      <c r="G36">
        <v>3.85</v>
      </c>
      <c r="H36">
        <f>(F36+G36)/2</f>
        <v>3.75</v>
      </c>
      <c r="I36">
        <f>AE36</f>
        <v>0.43897915888441436</v>
      </c>
      <c r="J36">
        <v>0.4263973376464845</v>
      </c>
      <c r="K36">
        <f>ABS(I36-J36)</f>
        <v>0.012581821237929836</v>
      </c>
      <c r="L36">
        <f>-_xlfn.NORM.S.DIST(-AD36, TRUE)</f>
        <v>-0.13086215004492036</v>
      </c>
      <c r="M36">
        <f>B3 * SQRT(D36) * _xlfn.NORM.S.DIST(AD36, FALSE) / 100</f>
        <v>0.2491815466381007</v>
      </c>
      <c r="N36">
        <v>0.4</v>
      </c>
      <c r="O36">
        <f>(LN(B3/E36) + (B4 + 0.5 * N36 * N36) * D36) / (N36 * SQRT(D36))</f>
        <v>1.2103037634593667</v>
      </c>
      <c r="P36">
        <f>O36 - N36 * SQRT(D36)</f>
        <v>1.0010058595183247</v>
      </c>
      <c r="Q36">
        <f>E36 * EXP(-B4 * D36) * _xlfn.NORM.S.DIST(-P36, TRUE) - B3 * _xlfn.NORM.S.DIST(-O36, TRUE)</f>
        <v>2.8246482724789317</v>
      </c>
      <c r="R36">
        <f>B3 * SQRT(D36) * _xlfn.NORM.S.DIST(O36, FALSE)</f>
        <v>22.488086754887455</v>
      </c>
      <c r="S36">
        <f>IF(R36 &gt; 0.00001, MAX(0.001, N36 - (Q36 - H36) / R36), N36)</f>
        <v>0.44114853066902</v>
      </c>
      <c r="T36">
        <f>(LN(B3/E36) + (B4 + 0.5 * S36 * S36) * D36) / (S36 * SQRT(D36))</f>
        <v>1.117938181231543</v>
      </c>
      <c r="U36">
        <f>T36 - S36 * SQRT(D36)</f>
        <v>0.8871095242423022</v>
      </c>
      <c r="V36">
        <f>E36 * EXP(-B4 * D36) * _xlfn.NORM.S.DIST(-U36, TRUE) - B3 * _xlfn.NORM.S.DIST(-T36, TRUE)</f>
        <v>3.804190104416584</v>
      </c>
      <c r="W36">
        <f>B3 * SQRT(D36) * _xlfn.NORM.S.DIST(T36, FALSE)</f>
        <v>25.040897865097797</v>
      </c>
      <c r="X36">
        <f>IF(W36 &gt; 0.00001, MAX(0.001, S36 - (V36 - H36) / W36), S36)</f>
        <v>0.43898446671618085</v>
      </c>
      <c r="Y36">
        <f>(LN(B3/E36) + (B4 + 0.5 * X36 * X36) * D36) / (X36 * SQRT(D36))</f>
        <v>1.1223141605932148</v>
      </c>
      <c r="Z36">
        <f>Y36 - X36 * SQRT(D36)</f>
        <v>0.892617838727283</v>
      </c>
      <c r="AA36">
        <f>E36 * EXP(-B4 * D36) * _xlfn.NORM.S.DIST(-Z36, TRUE) - B3 * _xlfn.NORM.S.DIST(-Y36, TRUE)</f>
        <v>3.7501322621739313</v>
      </c>
      <c r="AB36">
        <f>B3 * SQRT(D36) * _xlfn.NORM.S.DIST(Y36, FALSE)</f>
        <v>24.918456500404833</v>
      </c>
      <c r="AC36">
        <f>IF(AB36 &gt; 0.00001, MAX(0.001, X36 - (AA36 - H36) / AB36), X36)</f>
        <v>0.43897915891656136</v>
      </c>
      <c r="AD36">
        <f>(LN(B3/E36) + (B4 + 0.5 * AC36 * AC36) * D36) / (AC36 * SQRT(D36))</f>
        <v>1.1223249534609379</v>
      </c>
      <c r="AE36">
        <f>IF(AB36 &gt; 0.00001, MAX(0.001, AC36 - ((E36 * EXP(-B4 * D36) * _xlfn.NORM.S.DIST(-(AD36 - AC36 * SQRT(D36)), TRUE) - B3 * _xlfn.NORM.S.DIST(-AD36, TRUE)) - H36) / (B3 * SQRT(D36) * _xlfn.NORM.S.DIST(AD36, FALSE))), AC36)</f>
        <v>0.43897915888441436</v>
      </c>
    </row>
    <row r="37" spans="1:31">
      <c r="A37" t="s">
        <v>69</v>
      </c>
      <c r="B37" t="s">
        <v>65</v>
      </c>
      <c r="C37">
        <f>DATEVALUE(B37)-DATEVALUE(B5)</f>
        <v>100</v>
      </c>
      <c r="D37">
        <f>C37/365.25</f>
        <v>0.2737850787132101</v>
      </c>
      <c r="E37">
        <v>190</v>
      </c>
      <c r="F37">
        <v>5.5</v>
      </c>
      <c r="G37">
        <v>5.65</v>
      </c>
      <c r="H37">
        <f>(F37+G37)/2</f>
        <v>5.575</v>
      </c>
      <c r="I37">
        <f>AE37</f>
        <v>0.42785957774482825</v>
      </c>
      <c r="J37">
        <v>0.4115659429931641</v>
      </c>
      <c r="K37">
        <f>ABS(I37-J37)</f>
        <v>0.01629363475166412</v>
      </c>
      <c r="L37">
        <f>-_xlfn.NORM.S.DIST(-AD37, TRUE)</f>
        <v>-0.18297303442481405</v>
      </c>
      <c r="M37">
        <f>B3 * SQRT(D37) * _xlfn.NORM.S.DIST(AD37, FALSE) / 100</f>
        <v>0.310845583317011</v>
      </c>
      <c r="N37">
        <v>0.4</v>
      </c>
      <c r="O37">
        <f>(LN(B3/E37) + (B4 + 0.5 * N37 * N37) * D37) / (N37 * SQRT(D37))</f>
        <v>0.951977137859207</v>
      </c>
      <c r="P37">
        <f>O37 - N37 * SQRT(D37)</f>
        <v>0.742679233918165</v>
      </c>
      <c r="Q37">
        <f>E37 * EXP(-B4 * D37) * _xlfn.NORM.S.DIST(-P37, TRUE) - B3 * _xlfn.NORM.S.DIST(-O37, TRUE)</f>
        <v>4.727308707966884</v>
      </c>
      <c r="R37">
        <f>B3 * SQRT(D37) * _xlfn.NORM.S.DIST(O37, FALSE)</f>
        <v>29.733461333464184</v>
      </c>
      <c r="S37">
        <f>IF(R37 &gt; 0.00001, MAX(0.001, N37 - (Q37 - H37) / R37), N37)</f>
        <v>0.4285096740849026</v>
      </c>
      <c r="T37">
        <f>(LN(B3/E37) + (B4 + 0.5 * S37 * S37) * D37) / (S37 * SQRT(D37))</f>
        <v>0.9030613324313383</v>
      </c>
      <c r="U37">
        <f>T37 - S37 * SQRT(D37)</f>
        <v>0.6788458909202655</v>
      </c>
      <c r="V37">
        <f>E37 * EXP(-B4 * D37) * _xlfn.NORM.S.DIST(-U37, TRUE) - B3 * _xlfn.NORM.S.DIST(-T37, TRUE)</f>
        <v>5.5952173870831245</v>
      </c>
      <c r="W37">
        <f>B3 * SQRT(D37) * _xlfn.NORM.S.DIST(T37, FALSE)</f>
        <v>31.113549709557574</v>
      </c>
      <c r="X37">
        <f>IF(W37 &gt; 0.00001, MAX(0.001, S37 - (V37 - H37) / W37), S37)</f>
        <v>0.42785988043320256</v>
      </c>
      <c r="Y37">
        <f>(LN(B3/E37) + (B4 + 0.5 * X37 * X37) * D37) / (X37 * SQRT(D37))</f>
        <v>0.904092558390738</v>
      </c>
      <c r="Z37">
        <f>Y37 - X37 * SQRT(D37)</f>
        <v>0.6802171180029026</v>
      </c>
      <c r="AA37">
        <f>E37 * EXP(-B4 * D37) * _xlfn.NORM.S.DIST(-Z37, TRUE) - B3 * _xlfn.NORM.S.DIST(-Y37, TRUE)</f>
        <v>5.575009408936474</v>
      </c>
      <c r="AB37">
        <f>B3 * SQRT(D37) * _xlfn.NORM.S.DIST(Y37, FALSE)</f>
        <v>31.08457185553417</v>
      </c>
      <c r="AC37">
        <f>IF(AB37 &gt; 0.00001, MAX(0.001, X37 - (AA37 - H37) / AB37), X37)</f>
        <v>0.42785957774489414</v>
      </c>
      <c r="AD37">
        <f>(LN(B3/E37) + (B4 + 0.5 * AC37 * AC37) * D37) / (AC37 * SQRT(D37))</f>
        <v>0.9040930396088841</v>
      </c>
      <c r="AE37">
        <f>IF(AB37 &gt; 0.00001, MAX(0.001, AC37 - ((E37 * EXP(-B4 * D37) * _xlfn.NORM.S.DIST(-(AD37 - AC37 * SQRT(D37)), TRUE) - B3 * _xlfn.NORM.S.DIST(-AD37, TRUE)) - H37) / (B3 * SQRT(D37) * _xlfn.NORM.S.DIST(AD37, FALSE))), AC37)</f>
        <v>0.42785957774482825</v>
      </c>
    </row>
    <row r="38" spans="1:31">
      <c r="A38" t="s">
        <v>70</v>
      </c>
      <c r="B38" t="s">
        <v>65</v>
      </c>
      <c r="C38">
        <f>DATEVALUE(B38)-DATEVALUE(B5)</f>
        <v>100</v>
      </c>
      <c r="D38">
        <f>C38/365.25</f>
        <v>0.2737850787132101</v>
      </c>
      <c r="E38">
        <v>200</v>
      </c>
      <c r="F38">
        <v>8</v>
      </c>
      <c r="G38">
        <v>8.2</v>
      </c>
      <c r="H38">
        <f>(F38+G38)/2</f>
        <v>8.1</v>
      </c>
      <c r="I38">
        <f>AE38</f>
        <v>0.41963168757503355</v>
      </c>
      <c r="J38">
        <v>0.4008848974609375</v>
      </c>
      <c r="K38">
        <f>ABS(I38-J38)</f>
        <v>0.01874679011409608</v>
      </c>
      <c r="L38">
        <f>-_xlfn.NORM.S.DIST(-AD38, TRUE)</f>
        <v>-0.2470303013917296</v>
      </c>
      <c r="M38">
        <f>B3 * SQRT(D38) * _xlfn.NORM.S.DIST(AD38, FALSE) / 100</f>
        <v>0.3702405451670029</v>
      </c>
      <c r="N38">
        <v>0.4</v>
      </c>
      <c r="O38">
        <f>(LN(B3/E38) + (B4 + 0.5 * N38 * N38) * D38) / (N38 * SQRT(D38))</f>
        <v>0.7069039984645593</v>
      </c>
      <c r="P38">
        <f>O38 - N38 * SQRT(D38)</f>
        <v>0.49760609452351734</v>
      </c>
      <c r="Q38">
        <f>E38 * EXP(-B4 * D38) * _xlfn.NORM.S.DIST(-P38, TRUE) - B3 * _xlfn.NORM.S.DIST(-O38, TRUE)</f>
        <v>7.378802110726397</v>
      </c>
      <c r="R38">
        <f>B3 * SQRT(D38) * _xlfn.NORM.S.DIST(O38, FALSE)</f>
        <v>36.435612430284294</v>
      </c>
      <c r="S38">
        <f>IF(R38 &gt; 0.00001, MAX(0.001, N38 - (Q38 - H38) / R38), N38)</f>
        <v>0.4197937633312337</v>
      </c>
      <c r="T38">
        <f>(LN(B3/E38) + (B4 + 0.5 * S38 * S38) * D38) / (S38 * SQRT(D38))</f>
        <v>0.6836854652608896</v>
      </c>
      <c r="U38">
        <f>T38 - S38 * SQRT(D38)</f>
        <v>0.46403057837901696</v>
      </c>
      <c r="V38">
        <f>E38 * EXP(-B4 * D38) * _xlfn.NORM.S.DIST(-U38, TRUE) - B3 * _xlfn.NORM.S.DIST(-T38, TRUE)</f>
        <v>8.106001069446513</v>
      </c>
      <c r="W38">
        <f>B3 * SQRT(D38) * _xlfn.NORM.S.DIST(T38, FALSE)</f>
        <v>37.02859246901603</v>
      </c>
      <c r="X38">
        <f>IF(W38 &gt; 0.00001, MAX(0.001, S38 - (V38 - H38) / W38), S38)</f>
        <v>0.4196316975046286</v>
      </c>
      <c r="Y38">
        <f>(LN(B3/E38) + (B4 + 0.5 * X38 * X38) * D38) / (X38 * SQRT(D38))</f>
        <v>0.6838646947406951</v>
      </c>
      <c r="Z38">
        <f>Y38 - X38 * SQRT(D38)</f>
        <v>0.46429460795334476</v>
      </c>
      <c r="AA38">
        <f>E38 * EXP(-B4 * D38) * _xlfn.NORM.S.DIST(-Z38, TRUE) - B3 * _xlfn.NORM.S.DIST(-Y38, TRUE)</f>
        <v>8.100000367633868</v>
      </c>
      <c r="AB38">
        <f>B3 * SQRT(D38) * _xlfn.NORM.S.DIST(Y38, FALSE)</f>
        <v>37.024054794870786</v>
      </c>
      <c r="AC38">
        <f>IF(AB38 &gt; 0.00001, MAX(0.001, X38 - (AA38 - H38) / AB38), X38)</f>
        <v>0.4196316875750336</v>
      </c>
      <c r="AD38">
        <f>(LN(B3/E38) + (B4 + 0.5 * AC38 * AC38) * D38) / (AC38 * SQRT(D38))</f>
        <v>0.683864705727133</v>
      </c>
      <c r="AE38">
        <f>IF(AB38 &gt; 0.00001, MAX(0.001, AC38 - ((E38 * EXP(-B4 * D38) * _xlfn.NORM.S.DIST(-(AD38 - AC38 * SQRT(D38)), TRUE) - B3 * _xlfn.NORM.S.DIST(-AD38, TRUE)) - H38) / (B3 * SQRT(D38) * _xlfn.NORM.S.DIST(AD38, FALSE))), AC38)</f>
        <v>0.41963168757503355</v>
      </c>
    </row>
    <row r="39" spans="1:31">
      <c r="A39" t="s">
        <v>71</v>
      </c>
      <c r="B39" t="s">
        <v>65</v>
      </c>
      <c r="C39">
        <f>DATEVALUE(B39)-DATEVALUE(B5)</f>
        <v>100</v>
      </c>
      <c r="D39">
        <f>C39/365.25</f>
        <v>0.2737850787132101</v>
      </c>
      <c r="E39">
        <v>210</v>
      </c>
      <c r="F39">
        <v>11.3</v>
      </c>
      <c r="G39">
        <v>11.5</v>
      </c>
      <c r="H39">
        <f>(F39+G39)/2</f>
        <v>11.4</v>
      </c>
      <c r="I39">
        <f>AE39</f>
        <v>0.41293269470425725</v>
      </c>
      <c r="J39">
        <v>0.3904785073852539</v>
      </c>
      <c r="K39">
        <f>ABS(I39-J39)</f>
        <v>0.022454187319003338</v>
      </c>
      <c r="L39">
        <f>-_xlfn.NORM.S.DIST(-AD39, TRUE)</f>
        <v>-0.3207463396752165</v>
      </c>
      <c r="M39">
        <f>B3 * SQRT(D39) * _xlfn.NORM.S.DIST(AD39, FALSE) / 100</f>
        <v>0.41972122658950384</v>
      </c>
      <c r="N39">
        <v>0.4</v>
      </c>
      <c r="O39">
        <f>(LN(B3/E39) + (B4 + 0.5 * N39 * N39) * D39) / (N39 * SQRT(D39))</f>
        <v>0.47379051165593905</v>
      </c>
      <c r="P39">
        <f>O39 - N39 * SQRT(D39)</f>
        <v>0.2644926077148971</v>
      </c>
      <c r="Q39">
        <f>E39 * EXP(-B4 * D39) * _xlfn.NORM.S.DIST(-P39, TRUE) - B3 * _xlfn.NORM.S.DIST(-O39, TRUE)</f>
        <v>10.858209892243622</v>
      </c>
      <c r="R39">
        <f>B3 * SQRT(D39) * _xlfn.NORM.S.DIST(O39, FALSE)</f>
        <v>41.811213407064066</v>
      </c>
      <c r="S39">
        <f>IF(R39 &gt; 0.00001, MAX(0.001, N39 - (Q39 - H39) / R39), N39)</f>
        <v>0.4129580096727076</v>
      </c>
      <c r="T39">
        <f>(LN(B3/E39) + (B4 + 0.5 * S39 * S39) * D39) / (S39 * SQRT(D39))</f>
        <v>0.46559750250675885</v>
      </c>
      <c r="U39">
        <f>T39 - S39 * SQRT(D39)</f>
        <v>0.24951938790635328</v>
      </c>
      <c r="V39">
        <f>E39 * EXP(-B4 * D39) * _xlfn.NORM.S.DIST(-U39, TRUE) - B3 * _xlfn.NORM.S.DIST(-T39, TRUE)</f>
        <v>11.401062526744937</v>
      </c>
      <c r="W39">
        <f>B3 * SQRT(D39) * _xlfn.NORM.S.DIST(T39, FALSE)</f>
        <v>41.97242160595086</v>
      </c>
      <c r="X39">
        <f>IF(W39 &gt; 0.00001, MAX(0.001, S39 - (V39 - H39) / W39), S39)</f>
        <v>0.41293269479440703</v>
      </c>
      <c r="Y39">
        <f>(LN(B3/E39) + (B4 + 0.5 * X39 * X39) * D39) / (X39 * SQRT(D39))</f>
        <v>0.4656127997226901</v>
      </c>
      <c r="Z39">
        <f>Y39 - X39 * SQRT(D39)</f>
        <v>0.2495479309997016</v>
      </c>
      <c r="AA39">
        <f>E39 * EXP(-B4 * D39) * _xlfn.NORM.S.DIST(-Z39, TRUE) - B3 * _xlfn.NORM.S.DIST(-Y39, TRUE)</f>
        <v>11.400000003783774</v>
      </c>
      <c r="AB39">
        <f>B3 * SQRT(D39) * _xlfn.NORM.S.DIST(Y39, FALSE)</f>
        <v>41.972122660015074</v>
      </c>
      <c r="AC39">
        <f>IF(AB39 &gt; 0.00001, MAX(0.001, X39 - (AA39 - H39) / AB39), X39)</f>
        <v>0.41293269470425736</v>
      </c>
      <c r="AD39">
        <f>(LN(B3/E39) + (B4 + 0.5 * AC39 * AC39) * D39) / (AC39 * SQRT(D39))</f>
        <v>0.46561279977717035</v>
      </c>
      <c r="AE39">
        <f>IF(AB39 &gt; 0.00001, MAX(0.001, AC39 - ((E39 * EXP(-B4 * D39) * _xlfn.NORM.S.DIST(-(AD39 - AC39 * SQRT(D39)), TRUE) - B3 * _xlfn.NORM.S.DIST(-AD39, TRUE)) - H39) / (B3 * SQRT(D39) * _xlfn.NORM.S.DIST(AD39, FALSE))), AC39)</f>
        <v>0.41293269470425725</v>
      </c>
    </row>
    <row r="40" spans="1:31">
      <c r="A40" t="s">
        <v>72</v>
      </c>
      <c r="B40" t="s">
        <v>65</v>
      </c>
      <c r="C40">
        <f>DATEVALUE(B40)-DATEVALUE(B5)</f>
        <v>100</v>
      </c>
      <c r="D40">
        <f>C40/365.25</f>
        <v>0.2737850787132101</v>
      </c>
      <c r="E40">
        <v>215</v>
      </c>
      <c r="F40">
        <v>13.2</v>
      </c>
      <c r="G40">
        <v>13.5</v>
      </c>
      <c r="H40">
        <f>(F40+G40)/2</f>
        <v>13.35</v>
      </c>
      <c r="I40">
        <f>AE40</f>
        <v>0.4097877656068958</v>
      </c>
      <c r="J40">
        <v>0.3862976409912109</v>
      </c>
      <c r="K40">
        <f>ABS(I40-J40)</f>
        <v>0.023490124615684893</v>
      </c>
      <c r="L40">
        <f>-_xlfn.NORM.S.DIST(-AD40, TRUE)</f>
        <v>-0.3602488518215912</v>
      </c>
      <c r="M40">
        <f>B3 * SQRT(D40) * _xlfn.NORM.S.DIST(AD40, FALSE) / 100</f>
        <v>0.43877213231920303</v>
      </c>
      <c r="N40">
        <v>0.4</v>
      </c>
      <c r="O40">
        <f>(LN(B3/E40) + (B4 + 0.5 * N40 * N40) * D40) / (N40 * SQRT(D40))</f>
        <v>0.361364648963962</v>
      </c>
      <c r="P40">
        <f>O40 - N40 * SQRT(D40)</f>
        <v>0.15206674502292</v>
      </c>
      <c r="Q40">
        <f>E40 * EXP(-B4 * D40) * _xlfn.NORM.S.DIST(-P40, TRUE) - B3 * _xlfn.NORM.S.DIST(-O40, TRUE)</f>
        <v>12.920811456265966</v>
      </c>
      <c r="R40">
        <f>B3 * SQRT(D40) * _xlfn.NORM.S.DIST(O40, FALSE)</f>
        <v>43.82090938053655</v>
      </c>
      <c r="S40">
        <f>IF(R40 &gt; 0.00001, MAX(0.001, N40 - (Q40 - H40) / R40), N40)</f>
        <v>0.4097941496377221</v>
      </c>
      <c r="T40">
        <f>(LN(B3/E40) + (B4 + 0.5 * S40 * S40) * D40) / (S40 * SQRT(D40))</f>
        <v>0.3577914690292863</v>
      </c>
      <c r="U40">
        <f>T40 - S40 * SQRT(D40)</f>
        <v>0.143368827613094</v>
      </c>
      <c r="V40">
        <f>E40 * EXP(-B4 * D40) * _xlfn.NORM.S.DIST(-U40, TRUE) - B3 * _xlfn.NORM.S.DIST(-T40, TRUE)</f>
        <v>13.350280113593769</v>
      </c>
      <c r="W40">
        <f>B3 * SQRT(D40) * _xlfn.NORM.S.DIST(T40, FALSE)</f>
        <v>43.87724829631347</v>
      </c>
      <c r="X40">
        <f>IF(W40 &gt; 0.00001, MAX(0.001, S40 - (V40 - H40) / W40), S40)</f>
        <v>0.40978776560944674</v>
      </c>
      <c r="Y40">
        <f>(LN(B3/E40) + (B4 + 0.5 * X40 * X40) * D40) / (X40 * SQRT(D40))</f>
        <v>0.35779370257891546</v>
      </c>
      <c r="Z40">
        <f>Y40 - X40 * SQRT(D40)</f>
        <v>0.14337440157206496</v>
      </c>
      <c r="AA40">
        <f>E40 * EXP(-B4 * D40) * _xlfn.NORM.S.DIST(-Z40, TRUE) - B3 * _xlfn.NORM.S.DIST(-Y40, TRUE)</f>
        <v>13.350000000111933</v>
      </c>
      <c r="AB40">
        <f>B3 * SQRT(D40) * _xlfn.NORM.S.DIST(Y40, FALSE)</f>
        <v>43.877213231934306</v>
      </c>
      <c r="AC40">
        <f>IF(AB40 &gt; 0.00001, MAX(0.001, X40 - (AA40 - H40) / AB40), X40)</f>
        <v>0.40978776560689567</v>
      </c>
      <c r="AD40">
        <f>(LN(B3/E40) + (B4 + 0.5 * AC40 * AC40) * D40) / (AC40 * SQRT(D40))</f>
        <v>0.35779370257980814</v>
      </c>
      <c r="AE40">
        <f>IF(AB40 &gt; 0.00001, MAX(0.001, AC40 - ((E40 * EXP(-B4 * D40) * _xlfn.NORM.S.DIST(-(AD40 - AC40 * SQRT(D40)), TRUE) - B3 * _xlfn.NORM.S.DIST(-AD40, TRUE)) - H40) / (B3 * SQRT(D40) * _xlfn.NORM.S.DIST(AD40, FALSE))), AC40)</f>
        <v>0.4097877656068958</v>
      </c>
    </row>
    <row r="41" spans="1:31">
      <c r="A41" t="s">
        <v>73</v>
      </c>
      <c r="B41" t="s">
        <v>65</v>
      </c>
      <c r="C41">
        <f>DATEVALUE(B41)-DATEVALUE(B5)</f>
        <v>100</v>
      </c>
      <c r="D41">
        <f>C41/365.25</f>
        <v>0.2737850787132101</v>
      </c>
      <c r="E41">
        <v>220</v>
      </c>
      <c r="F41">
        <v>15.45</v>
      </c>
      <c r="G41">
        <v>15.85</v>
      </c>
      <c r="H41">
        <f>(F41+G41)/2</f>
        <v>15.649999999999999</v>
      </c>
      <c r="I41">
        <f>AE41</f>
        <v>0.40993669626572804</v>
      </c>
      <c r="J41">
        <v>0.3850769500732422</v>
      </c>
      <c r="K41">
        <f>ABS(I41-J41)</f>
        <v>0.02485974619248582</v>
      </c>
      <c r="L41">
        <f>-_xlfn.NORM.S.DIST(-AD41, TRUE)</f>
        <v>-0.40107599454604453</v>
      </c>
      <c r="M41">
        <f>B3 * SQRT(D41) * _xlfn.NORM.S.DIST(AD41, FALSE) / 100</f>
        <v>0.45331963615493254</v>
      </c>
      <c r="N41">
        <v>0.4</v>
      </c>
      <c r="O41">
        <f>(LN(B3/E41) + (B4 + 0.5 * N41 * N41) * D41) / (N41 * SQRT(D41))</f>
        <v>0.25152351920675875</v>
      </c>
      <c r="P41">
        <f>O41 - N41 * SQRT(D41)</f>
        <v>0.042225615265716776</v>
      </c>
      <c r="Q41">
        <f>E41 * EXP(-B4 * D41) * _xlfn.NORM.S.DIST(-P41, TRUE) - B3 * _xlfn.NORM.S.DIST(-O41, TRUE)</f>
        <v>15.199602670003173</v>
      </c>
      <c r="R41">
        <f>B3 * SQRT(D41) * _xlfn.NORM.S.DIST(O41, FALSE)</f>
        <v>45.32103397998785</v>
      </c>
      <c r="S41">
        <f>IF(R41 &gt; 0.00001, MAX(0.001, N41 - (Q41 - H41) / R41), N41)</f>
        <v>0.40993793147340163</v>
      </c>
      <c r="T41">
        <f>(LN(B3/E41) + (B4 + 0.5 * S41 * S41) * D41) / (S41 * SQRT(D41))</f>
        <v>0.2505628937922305</v>
      </c>
      <c r="U41">
        <f>T41 - S41 * SQRT(D41)</f>
        <v>0.03606501928395689</v>
      </c>
      <c r="V41">
        <f>E41 * EXP(-B4 * D41) * _xlfn.NORM.S.DIST(-U41, TRUE) - B3 * _xlfn.NORM.S.DIST(-T41, TRUE)</f>
        <v>15.650055994390087</v>
      </c>
      <c r="W41">
        <f>B3 * SQRT(D41) * _xlfn.NORM.S.DIST(T41, FALSE)</f>
        <v>45.33196484983277</v>
      </c>
      <c r="X41">
        <f>IF(W41 &gt; 0.00001, MAX(0.001, S41 - (V41 - H41) / W41), S41)</f>
        <v>0.40993669626574464</v>
      </c>
      <c r="Y41">
        <f>(LN(B3/E41) + (B4 + 0.5 * X41 * X41) * D41) / (X41 * SQRT(D41))</f>
        <v>0.2505630024631242</v>
      </c>
      <c r="Z41">
        <f>Y41 - X41 * SQRT(D41)</f>
        <v>0.03606577427078442</v>
      </c>
      <c r="AA41">
        <f>E41 * EXP(-B4 * D41) * _xlfn.NORM.S.DIST(-Z41, TRUE) - B3 * _xlfn.NORM.S.DIST(-Y41, TRUE)</f>
        <v>15.650000000000759</v>
      </c>
      <c r="AB41">
        <f>B3 * SQRT(D41) * _xlfn.NORM.S.DIST(Y41, FALSE)</f>
        <v>45.331963615493265</v>
      </c>
      <c r="AC41">
        <f>IF(AB41 &gt; 0.00001, MAX(0.001, X41 - (AA41 - H41) / AB41), X41)</f>
        <v>0.4099366962657279</v>
      </c>
      <c r="AD41">
        <f>(LN(B3/E41) + (B4 + 0.5 * AC41 * AC41) * D41) / (AC41 * SQRT(D41))</f>
        <v>0.2505630024631257</v>
      </c>
      <c r="AE41">
        <f>IF(AB41 &gt; 0.00001, MAX(0.001, AC41 - ((E41 * EXP(-B4 * D41) * _xlfn.NORM.S.DIST(-(AD41 - AC41 * SQRT(D41)), TRUE) - B3 * _xlfn.NORM.S.DIST(-AD41, TRUE)) - H41) / (B3 * SQRT(D41) * _xlfn.NORM.S.DIST(AD41, FALSE))), AC41)</f>
        <v>0.40993669626572804</v>
      </c>
    </row>
    <row r="42" spans="1:31">
      <c r="A42" t="s">
        <v>74</v>
      </c>
      <c r="B42" t="s">
        <v>65</v>
      </c>
      <c r="C42">
        <f>DATEVALUE(B42)-DATEVALUE(B5)</f>
        <v>100</v>
      </c>
      <c r="D42">
        <f>C42/365.25</f>
        <v>0.2737850787132101</v>
      </c>
      <c r="E42">
        <v>225</v>
      </c>
      <c r="F42">
        <v>17.85</v>
      </c>
      <c r="G42">
        <v>18.2</v>
      </c>
      <c r="H42">
        <f>(F42+G42)/2</f>
        <v>18.025</v>
      </c>
      <c r="I42">
        <f>AE42</f>
        <v>0.40719470521314616</v>
      </c>
      <c r="J42">
        <v>0.3790650473022461</v>
      </c>
      <c r="K42">
        <f>ABS(I42-J42)</f>
        <v>0.028129657910900052</v>
      </c>
      <c r="L42">
        <f>-_xlfn.NORM.S.DIST(-AD42, TRUE)</f>
        <v>-0.4422230818356242</v>
      </c>
      <c r="M42">
        <f>B3 * SQRT(D42) * _xlfn.NORM.S.DIST(AD42, FALSE) / 100</f>
        <v>0.46286119440003115</v>
      </c>
      <c r="N42">
        <v>0.4</v>
      </c>
      <c r="O42">
        <f>(LN(B3/E42) + (B4 + 0.5 * N42 * N42) * D42) / (N42 * SQRT(D42))</f>
        <v>0.1441509396018094</v>
      </c>
      <c r="P42">
        <f>O42 - N42 * SQRT(D42)</f>
        <v>-0.06514696433923256</v>
      </c>
      <c r="Q42">
        <f>E42 * EXP(-B4 * D42) * _xlfn.NORM.S.DIST(-P42, TRUE) - B3 * _xlfn.NORM.S.DIST(-O42, TRUE)</f>
        <v>17.691956331161066</v>
      </c>
      <c r="R42">
        <f>B3 * SQRT(D42) * _xlfn.NORM.S.DIST(O42, FALSE)</f>
        <v>46.294054700702766</v>
      </c>
      <c r="S42">
        <f>IF(R42 &gt; 0.00001, MAX(0.001, N42 - (Q42 - H42) / R42), N42)</f>
        <v>0.4071940915737908</v>
      </c>
      <c r="T42">
        <f>(LN(B3/E42) + (B4 + 0.5 * S42 * S42) * D42) / (S42 * SQRT(D42))</f>
        <v>0.14533517456817077</v>
      </c>
      <c r="U42">
        <f>T42 - S42 * SQRT(D42)</f>
        <v>-0.067727000090757</v>
      </c>
      <c r="V42">
        <f>E42 * EXP(-B4 * D42) * _xlfn.NORM.S.DIST(-U42, TRUE) - B3 * _xlfn.NORM.S.DIST(-T42, TRUE)</f>
        <v>18.024971597015295</v>
      </c>
      <c r="W42">
        <f>B3 * SQRT(D42) * _xlfn.NORM.S.DIST(T42, FALSE)</f>
        <v>46.28612012659018</v>
      </c>
      <c r="X42">
        <f>IF(W42 &gt; 0.00001, MAX(0.001, S42 - (V42 - H42) / W42), S42)</f>
        <v>0.40719470521314155</v>
      </c>
      <c r="Y42">
        <f>(LN(B3/E42) + (B4 + 0.5 * X42 * X42) * D42) / (X42 * SQRT(D42))</f>
        <v>0.1453352766324912</v>
      </c>
      <c r="Z42">
        <f>Y42 - X42 * SQRT(D42)</f>
        <v>-0.06772721911001128</v>
      </c>
      <c r="AA42">
        <f>E42 * EXP(-B4 * D42) * _xlfn.NORM.S.DIST(-Z42, TRUE) - B3 * _xlfn.NORM.S.DIST(-Y42, TRUE)</f>
        <v>18.02499999999978</v>
      </c>
      <c r="AB42">
        <f>B3 * SQRT(D42) * _xlfn.NORM.S.DIST(Y42, FALSE)</f>
        <v>46.28611944000312</v>
      </c>
      <c r="AC42">
        <f>IF(AB42 &gt; 0.00001, MAX(0.001, X42 - (AA42 - H42) / AB42), X42)</f>
        <v>0.4071947052131463</v>
      </c>
      <c r="AD42">
        <f>(LN(B3/E42) + (B4 + 0.5 * AC42 * AC42) * D42) / (AC42 * SQRT(D42))</f>
        <v>0.14533527663249202</v>
      </c>
      <c r="AE42">
        <f>IF(AB42 &gt; 0.00001, MAX(0.001, AC42 - ((E42 * EXP(-B4 * D42) * _xlfn.NORM.S.DIST(-(AD42 - AC42 * SQRT(D42)), TRUE) - B3 * _xlfn.NORM.S.DIST(-AD42, TRUE)) - H42) / (B3 * SQRT(D42) * _xlfn.NORM.S.DIST(AD42, FALSE))), AC42)</f>
        <v>0.40719470521314616</v>
      </c>
    </row>
    <row r="43" spans="1:31">
      <c r="A43" t="s">
        <v>75</v>
      </c>
      <c r="B43" t="s">
        <v>65</v>
      </c>
      <c r="C43">
        <f>DATEVALUE(B43)-DATEVALUE(B5)</f>
        <v>100</v>
      </c>
      <c r="D43">
        <f>C43/365.25</f>
        <v>0.2737850787132101</v>
      </c>
      <c r="E43">
        <v>230</v>
      </c>
      <c r="F43">
        <v>20.55</v>
      </c>
      <c r="G43">
        <v>20.8</v>
      </c>
      <c r="H43">
        <f>(F43+G43)/2</f>
        <v>20.675</v>
      </c>
      <c r="I43">
        <f>AE43</f>
        <v>0.4060357740023193</v>
      </c>
      <c r="J43">
        <v>0.3737855590820312</v>
      </c>
      <c r="K43">
        <f>ABS(I43-J43)</f>
        <v>0.03225021492028812</v>
      </c>
      <c r="L43">
        <f>-_xlfn.NORM.S.DIST(-AD43, TRUE)</f>
        <v>-0.4833723925516611</v>
      </c>
      <c r="M43">
        <f>B3 * SQRT(D43) * _xlfn.NORM.S.DIST(AD43, FALSE) / 100</f>
        <v>0.46736909642110497</v>
      </c>
      <c r="N43">
        <v>0.4</v>
      </c>
      <c r="O43">
        <f>(LN(B3/E43) + (B4 + 0.5 * N43 * N43) * D43) / (N43 * SQRT(D43))</f>
        <v>0.039138389046278865</v>
      </c>
      <c r="P43">
        <f>O43 - N43 * SQRT(D43)</f>
        <v>-0.1701595148947631</v>
      </c>
      <c r="Q43">
        <f>E43 * EXP(-B4 * D43) * _xlfn.NORM.S.DIST(-P43, TRUE) - B3 * _xlfn.NORM.S.DIST(-O43, TRUE)</f>
        <v>20.39289189723179</v>
      </c>
      <c r="R43">
        <f>B3 * SQRT(D43) * _xlfn.NORM.S.DIST(O43, FALSE)</f>
        <v>46.74173200568074</v>
      </c>
      <c r="S43">
        <f>IF(R43 &gt; 0.00001, MAX(0.001, N43 - (Q43 - H43) / R43), N43)</f>
        <v>0.406035465325374</v>
      </c>
      <c r="T43">
        <f>(LN(B3/E43) + (B4 + 0.5 * S43 * S43) * D43) / (S43 * SQRT(D43))</f>
        <v>0.041691175729866546</v>
      </c>
      <c r="U43">
        <f>T43 - S43 * SQRT(D43)</f>
        <v>-0.17076475381594944</v>
      </c>
      <c r="V43">
        <f>E43 * EXP(-B4 * D43) * _xlfn.NORM.S.DIST(-U43, TRUE) - B3 * _xlfn.NORM.S.DIST(-T43, TRUE)</f>
        <v>20.674985573393485</v>
      </c>
      <c r="W43">
        <f>B3 * SQRT(D43) * _xlfn.NORM.S.DIST(T43, FALSE)</f>
        <v>46.73690989506543</v>
      </c>
      <c r="X43">
        <f>IF(W43 &gt; 0.00001, MAX(0.001, S43 - (V43 - H43) / W43), S43)</f>
        <v>0.40603577400231794</v>
      </c>
      <c r="Y43">
        <f>(LN(B3/E43) + (B4 + 0.5 * X43 * X43) * D43) / (X43 * SQRT(D43))</f>
        <v>0.04169130554888899</v>
      </c>
      <c r="Z43">
        <f>Y43 - X43 * SQRT(D43)</f>
        <v>-0.17076478551052043</v>
      </c>
      <c r="AA43">
        <f>E43 * EXP(-B4 * D43) * _xlfn.NORM.S.DIST(-Z43, TRUE) - B3 * _xlfn.NORM.S.DIST(-Y43, TRUE)</f>
        <v>20.674999999999955</v>
      </c>
      <c r="AB43">
        <f>B3 * SQRT(D43) * _xlfn.NORM.S.DIST(Y43, FALSE)</f>
        <v>46.7369096421105</v>
      </c>
      <c r="AC43">
        <f>IF(AB43 &gt; 0.00001, MAX(0.001, X43 - (AA43 - H43) / AB43), X43)</f>
        <v>0.40603577400231894</v>
      </c>
      <c r="AD43">
        <f>(LN(B3/E43) + (B4 + 0.5 * AC43 * AC43) * D43) / (AC43 * SQRT(D43))</f>
        <v>0.04169130554888938</v>
      </c>
      <c r="AE43">
        <f>IF(AB43 &gt; 0.00001, MAX(0.001, AC43 - ((E43 * EXP(-B4 * D43) * _xlfn.NORM.S.DIST(-(AD43 - AC43 * SQRT(D43)), TRUE) - B3 * _xlfn.NORM.S.DIST(-AD43, TRUE)) - H43) / (B3 * SQRT(D43) * _xlfn.NORM.S.DIST(AD43, FALSE))), AC43)</f>
        <v>0.4060357740023193</v>
      </c>
    </row>
    <row r="44" spans="1:31">
      <c r="A44" t="s">
        <v>76</v>
      </c>
      <c r="B44" t="s">
        <v>65</v>
      </c>
      <c r="C44">
        <f>DATEVALUE(B44)-DATEVALUE(B5)</f>
        <v>100</v>
      </c>
      <c r="D44">
        <f>C44/365.25</f>
        <v>0.2737850787132101</v>
      </c>
      <c r="E44">
        <v>240</v>
      </c>
      <c r="F44">
        <v>26.45</v>
      </c>
      <c r="G44">
        <v>26.9</v>
      </c>
      <c r="H44">
        <f>(F44+G44)/2</f>
        <v>26.674999999999997</v>
      </c>
      <c r="I44">
        <f>AE44</f>
        <v>0.4061561599823925</v>
      </c>
      <c r="J44">
        <v>0.368719691772461</v>
      </c>
      <c r="K44">
        <f>ABS(I44-J44)</f>
        <v>0.03743646820993152</v>
      </c>
      <c r="L44">
        <f>-_xlfn.NORM.S.DIST(-AD44, TRUE)</f>
        <v>-0.5629767150736876</v>
      </c>
      <c r="M44">
        <f>B3 * SQRT(D44) * _xlfn.NORM.S.DIST(AD44, FALSE) / 100</f>
        <v>0.4619349083281194</v>
      </c>
      <c r="N44">
        <v>0.4</v>
      </c>
      <c r="O44">
        <f>(LN(B3/E44) + (B4 + 0.5 * N44 * N44) * D44) / (N44 * SQRT(D44))</f>
        <v>-0.16420628673597235</v>
      </c>
      <c r="P44">
        <f>O44 - N44 * SQRT(D44)</f>
        <v>-0.37350419067701435</v>
      </c>
      <c r="Q44">
        <f>E44 * EXP(-B4 * D44) * _xlfn.NORM.S.DIST(-P44, TRUE) - B3 * _xlfn.NORM.S.DIST(-O44, TRUE)</f>
        <v>26.39075464974789</v>
      </c>
      <c r="R44">
        <f>B3 * SQRT(D44) * _xlfn.NORM.S.DIST(O44, FALSE)</f>
        <v>46.15112967806538</v>
      </c>
      <c r="S44">
        <f>IF(R44 &gt; 0.00001, MAX(0.001, N44 - (Q44 - H44) / R44), N44)</f>
        <v>0.40615901175626484</v>
      </c>
      <c r="T44">
        <f>(LN(B3/E44) + (B4 + 0.5 * S44 * S44) * D44) / (S44 * SQRT(D44))</f>
        <v>-0.15851801965913467</v>
      </c>
      <c r="U44">
        <f>T44 - S44 * SQRT(D44)</f>
        <v>-0.3710385942275128</v>
      </c>
      <c r="V44">
        <f>E44 * EXP(-B4 * D44) * _xlfn.NORM.S.DIST(-U44, TRUE) - B3 * _xlfn.NORM.S.DIST(-T44, TRUE)</f>
        <v>26.67513173341743</v>
      </c>
      <c r="W44">
        <f>B3 * SQRT(D44) * _xlfn.NORM.S.DIST(T44, FALSE)</f>
        <v>46.193509909515605</v>
      </c>
      <c r="X44">
        <f>IF(W44 &gt; 0.00001, MAX(0.001, S44 - (V44 - H44) / W44), S44)</f>
        <v>0.4061561599829813</v>
      </c>
      <c r="Y44">
        <f>(LN(B3/E44) + (B4 + 0.5 * X44 * X44) * D44) / (X44 * SQRT(D44))</f>
        <v>-0.1585206248537046</v>
      </c>
      <c r="Z44">
        <f>Y44 - X44 * SQRT(D44)</f>
        <v>-0.3710397072466558</v>
      </c>
      <c r="AA44">
        <f>E44 * EXP(-B4 * D44) * _xlfn.NORM.S.DIST(-Z44, TRUE) - B3 * _xlfn.NORM.S.DIST(-Y44, TRUE)</f>
        <v>26.67500000002721</v>
      </c>
      <c r="AB44">
        <f>B3 * SQRT(D44) * _xlfn.NORM.S.DIST(Y44, FALSE)</f>
        <v>46.19349083281588</v>
      </c>
      <c r="AC44">
        <f>IF(AB44 &gt; 0.00001, MAX(0.001, X44 - (AA44 - H44) / AB44), X44)</f>
        <v>0.4061561599823922</v>
      </c>
      <c r="AD44">
        <f>(LN(B3/E44) + (B4 + 0.5 * AC44 * AC44) * D44) / (AC44 * SQRT(D44))</f>
        <v>-0.15852062485424276</v>
      </c>
      <c r="AE44">
        <f>IF(AB44 &gt; 0.00001, MAX(0.001, AC44 - ((E44 * EXP(-B4 * D44) * _xlfn.NORM.S.DIST(-(AD44 - AC44 * SQRT(D44)), TRUE) - B3 * _xlfn.NORM.S.DIST(-AD44, TRUE)) - H44) / (B3 * SQRT(D44) * _xlfn.NORM.S.DIST(AD44, FALSE))), AC44)</f>
        <v>0.4061561599823925</v>
      </c>
    </row>
    <row r="45" spans="1:31">
      <c r="A45" t="s">
        <v>77</v>
      </c>
      <c r="B45" t="s">
        <v>78</v>
      </c>
      <c r="C45">
        <f>DATEVALUE(B45)-DATEVALUE(B5)</f>
        <v>128</v>
      </c>
      <c r="D45">
        <f>C45/365.25</f>
        <v>0.35044490075290896</v>
      </c>
      <c r="E45">
        <v>150</v>
      </c>
      <c r="F45">
        <v>1.61</v>
      </c>
      <c r="G45">
        <v>1.65</v>
      </c>
      <c r="H45">
        <f>(F45+G45)/2</f>
        <v>1.63</v>
      </c>
      <c r="I45">
        <f>AE45</f>
        <v>0.4809373688132327</v>
      </c>
      <c r="J45">
        <v>0.4672904833984375</v>
      </c>
      <c r="K45">
        <f>ABS(I45-J45)</f>
        <v>0.013646885414795196</v>
      </c>
      <c r="L45">
        <f>-_xlfn.NORM.S.DIST(-AD45, TRUE)</f>
        <v>-0.053956079723386396</v>
      </c>
      <c r="M45">
        <f>B3 * SQRT(D45) * _xlfn.NORM.S.DIST(AD45, FALSE) / 100</f>
        <v>0.14535098384887832</v>
      </c>
      <c r="N45">
        <v>0.4</v>
      </c>
      <c r="O45">
        <f>(LN(B3/E45) + (B4 + 0.5 * N45 * N45) * D45) / (N45 * SQRT(D45))</f>
        <v>1.8801951326020878</v>
      </c>
      <c r="P45">
        <f>O45 - N45 * SQRT(D45)</f>
        <v>1.6434015851383417</v>
      </c>
      <c r="Q45">
        <f>E45 * EXP(-B4 * D45) * _xlfn.NORM.S.DIST(-P45, TRUE) - B3 * _xlfn.NORM.S.DIST(-O45, TRUE)</f>
        <v>0.6729606943452451</v>
      </c>
      <c r="R45">
        <f>B3 * SQRT(D45) * _xlfn.NORM.S.DIST(O45, FALSE)</f>
        <v>9.036450576723865</v>
      </c>
      <c r="S45">
        <f>IF(R45 &gt; 0.00001, MAX(0.001, N45 - (Q45 - H45) / R45), N45)</f>
        <v>0.5059087633500593</v>
      </c>
      <c r="T45">
        <f>(LN(B3/E45) + (B4 + 0.5 * S45 * S45) * D45) / (S45 * SQRT(D45))</f>
        <v>1.542722055980088</v>
      </c>
      <c r="U45">
        <f>T45 - S45 * SQRT(D45)</f>
        <v>1.2432322290634445</v>
      </c>
      <c r="V45">
        <f>E45 * EXP(-B4 * D45) * _xlfn.NORM.S.DIST(-U45, TRUE) - B3 * _xlfn.NORM.S.DIST(-T45, TRUE)</f>
        <v>2.012670238440055</v>
      </c>
      <c r="W45">
        <f>B3 * SQRT(D45) * _xlfn.NORM.S.DIST(T45, FALSE)</f>
        <v>16.100296038584272</v>
      </c>
      <c r="X45">
        <f>IF(W45 &gt; 0.00001, MAX(0.001, S45 - (V45 - H45) / W45), S45)</f>
        <v>0.48214086259078204</v>
      </c>
      <c r="Y45">
        <f>(LN(B3/E45) + (B4 + 0.5 * X45 * X45) * D45) / (X45 * SQRT(D45))</f>
        <v>1.6043559730983277</v>
      </c>
      <c r="Z45">
        <f>Y45 - X45 * SQRT(D45)</f>
        <v>1.318936360023073</v>
      </c>
      <c r="AA45">
        <f>E45 * EXP(-B4 * D45) * _xlfn.NORM.S.DIST(-Z45, TRUE) - B3 * _xlfn.NORM.S.DIST(-Y45, TRUE)</f>
        <v>1.6475391691012469</v>
      </c>
      <c r="AB45">
        <f>B3 * SQRT(D45) * _xlfn.NORM.S.DIST(Y45, FALSE)</f>
        <v>14.612163321773581</v>
      </c>
      <c r="AC45">
        <f>IF(AB45 &gt; 0.00001, MAX(0.001, X45 - (AA45 - H45) / AB45), X45)</f>
        <v>0.4809405496244527</v>
      </c>
      <c r="AD45">
        <f>(LN(B3/E45) + (B4 + 0.5 * AC45 * AC45) * D45) / (AC45 * SQRT(D45))</f>
        <v>1.607648610549412</v>
      </c>
      <c r="AE45">
        <f>IF(AB45 &gt; 0.00001, MAX(0.001, AC45 - ((E45 * EXP(-B4 * D45) * _xlfn.NORM.S.DIST(-(AD45 - AC45 * SQRT(D45)), TRUE) - B3 * _xlfn.NORM.S.DIST(-AD45, TRUE)) - H45) / (B3 * SQRT(D45) * _xlfn.NORM.S.DIST(AD45, FALSE))), AC45)</f>
        <v>0.4809373688132327</v>
      </c>
    </row>
    <row r="46" spans="1:31">
      <c r="A46" t="s">
        <v>79</v>
      </c>
      <c r="B46" t="s">
        <v>78</v>
      </c>
      <c r="C46">
        <f>DATEVALUE(B46)-DATEVALUE(B5)</f>
        <v>128</v>
      </c>
      <c r="D46">
        <f>C46/365.25</f>
        <v>0.35044490075290896</v>
      </c>
      <c r="E46">
        <v>160</v>
      </c>
      <c r="F46">
        <v>2.3</v>
      </c>
      <c r="G46">
        <v>2.4</v>
      </c>
      <c r="H46">
        <f>(F46+G46)/2</f>
        <v>2.3499999999999996</v>
      </c>
      <c r="I46">
        <f>AE46</f>
        <v>0.4605783805560711</v>
      </c>
      <c r="J46">
        <v>0.4469049450683594</v>
      </c>
      <c r="K46">
        <f>ABS(I46-J46)</f>
        <v>0.01367343548771166</v>
      </c>
      <c r="L46">
        <f>-_xlfn.NORM.S.DIST(-AD46, TRUE)</f>
        <v>-0.07640184116829599</v>
      </c>
      <c r="M46">
        <f>B3 * SQRT(D46) * _xlfn.NORM.S.DIST(AD46, FALSE) / 100</f>
        <v>0.190451977726288</v>
      </c>
      <c r="N46">
        <v>0.4</v>
      </c>
      <c r="O46">
        <f>(LN(B3/E46) + (B4 + 0.5 * N46 * N46) * D46) / (N46 * SQRT(D46))</f>
        <v>1.6076432753879368</v>
      </c>
      <c r="P46">
        <f>O46 - N46 * SQRT(D46)</f>
        <v>1.3708497279241905</v>
      </c>
      <c r="Q46">
        <f>E46 * EXP(-B4 * D46) * _xlfn.NORM.S.DIST(-P46, TRUE) - B3 * _xlfn.NORM.S.DIST(-O46, TRUE)</f>
        <v>1.3292775412518711</v>
      </c>
      <c r="R46">
        <f>B3 * SQRT(D46) * _xlfn.NORM.S.DIST(O46, FALSE)</f>
        <v>14.535223053698266</v>
      </c>
      <c r="S46">
        <f>IF(R46 &gt; 0.00001, MAX(0.001, N46 - (Q46 - H46) / R46), N46)</f>
        <v>0.47022406570420133</v>
      </c>
      <c r="T46">
        <f>(LN(B3/E46) + (B4 + 0.5 * S46 * S46) * D46) / (S46 * SQRT(D46))</f>
        <v>1.4060224143757212</v>
      </c>
      <c r="U46">
        <f>T46 - S46 * SQRT(D46)</f>
        <v>1.1276573528234124</v>
      </c>
      <c r="V46">
        <f>E46 * EXP(-B4 * D46) * _xlfn.NORM.S.DIST(-U46, TRUE) - B3 * _xlfn.NORM.S.DIST(-T46, TRUE)</f>
        <v>2.536855127015521</v>
      </c>
      <c r="W46">
        <f>B3 * SQRT(D46) * _xlfn.NORM.S.DIST(T46, FALSE)</f>
        <v>19.695374583327528</v>
      </c>
      <c r="X46">
        <f>IF(W46 &gt; 0.00001, MAX(0.001, S46 - (V46 - H46) / W46), S46)</f>
        <v>0.4607368063365274</v>
      </c>
      <c r="Y46">
        <f>(LN(B3/E46) + (B4 + 0.5 * X46 * X46) * D46) / (X46 * SQRT(D46))</f>
        <v>1.429300388493167</v>
      </c>
      <c r="Z46">
        <f>Y46 - X46 * SQRT(D46)</f>
        <v>1.1565516314443085</v>
      </c>
      <c r="AA46">
        <f>E46 * EXP(-B4 * D46) * _xlfn.NORM.S.DIST(-Z46, TRUE) - B3 * _xlfn.NORM.S.DIST(-Y46, TRUE)</f>
        <v>2.353018108111776</v>
      </c>
      <c r="AB46">
        <f>B3 * SQRT(D46) * _xlfn.NORM.S.DIST(Y46, FALSE)</f>
        <v>19.056028916139198</v>
      </c>
      <c r="AC46">
        <f>IF(AB46 &gt; 0.00001, MAX(0.001, X46 - (AA46 - H46) / AB46), X46)</f>
        <v>0.4605784255886256</v>
      </c>
      <c r="AD46">
        <f>(LN(B3/E46) + (B4 + 0.5 * AC46 * AC46) * D46) / (AC46 * SQRT(D46))</f>
        <v>1.4296981121532353</v>
      </c>
      <c r="AE46">
        <f>IF(AB46 &gt; 0.00001, MAX(0.001, AC46 - ((E46 * EXP(-B4 * D46) * _xlfn.NORM.S.DIST(-(AD46 - AC46 * SQRT(D46)), TRUE) - B3 * _xlfn.NORM.S.DIST(-AD46, TRUE)) - H46) / (B3 * SQRT(D46) * _xlfn.NORM.S.DIST(AD46, FALSE))), AC46)</f>
        <v>0.4605783805560711</v>
      </c>
    </row>
    <row r="47" spans="1:31">
      <c r="A47" t="s">
        <v>80</v>
      </c>
      <c r="B47" t="s">
        <v>78</v>
      </c>
      <c r="C47">
        <f>DATEVALUE(B47)-DATEVALUE(B5)</f>
        <v>128</v>
      </c>
      <c r="D47">
        <f>C47/365.25</f>
        <v>0.35044490075290896</v>
      </c>
      <c r="E47">
        <v>170</v>
      </c>
      <c r="F47">
        <v>3.35</v>
      </c>
      <c r="G47">
        <v>3.5</v>
      </c>
      <c r="H47">
        <f>(F47+G47)/2</f>
        <v>3.425</v>
      </c>
      <c r="I47">
        <f>AE47</f>
        <v>0.4451053372989955</v>
      </c>
      <c r="J47">
        <v>0.430242514038086</v>
      </c>
      <c r="K47">
        <f>ABS(I47-J47)</f>
        <v>0.014862823260909486</v>
      </c>
      <c r="L47">
        <f>-_xlfn.NORM.S.DIST(-AD47, TRUE)</f>
        <v>-0.10748757613309672</v>
      </c>
      <c r="M47">
        <f>B3 * SQRT(D47) * _xlfn.NORM.S.DIST(AD47, FALSE) / 100</f>
        <v>0.24533327993353576</v>
      </c>
      <c r="N47">
        <v>0.4</v>
      </c>
      <c r="O47">
        <f>(LN(B3/E47) + (B4 + 0.5 * N47 * N47) * D47) / (N47 * SQRT(D47))</f>
        <v>1.3516201596156772</v>
      </c>
      <c r="P47">
        <f>O47 - N47 * SQRT(D47)</f>
        <v>1.1148266121519308</v>
      </c>
      <c r="Q47">
        <f>E47 * EXP(-B4 * D47) * _xlfn.NORM.S.DIST(-P47, TRUE) - B3 * _xlfn.NORM.S.DIST(-O47, TRUE)</f>
        <v>2.390678258990217</v>
      </c>
      <c r="R47">
        <f>B3 * SQRT(D47) * _xlfn.NORM.S.DIST(O47, FALSE)</f>
        <v>21.229565355438403</v>
      </c>
      <c r="S47">
        <f>IF(R47 &gt; 0.00001, MAX(0.001, N47 - (Q47 - H47) / R47), N47)</f>
        <v>0.44872081569700245</v>
      </c>
      <c r="T47">
        <f>(LN(B3/E47) + (B4 + 0.5 * S47 * S47) * D47) / (S47 * SQRT(D47))</f>
        <v>1.2321412794705897</v>
      </c>
      <c r="U47">
        <f>T47 - S47 * SQRT(D47)</f>
        <v>0.9665057950462921</v>
      </c>
      <c r="V47">
        <f>E47 * EXP(-B4 * D47) * _xlfn.NORM.S.DIST(-U47, TRUE) - B3 * _xlfn.NORM.S.DIST(-T47, TRUE)</f>
        <v>3.5141337487614805</v>
      </c>
      <c r="W47">
        <f>B3 * SQRT(D47) * _xlfn.NORM.S.DIST(T47, FALSE)</f>
        <v>24.772824449443902</v>
      </c>
      <c r="X47">
        <f>IF(W47 &gt; 0.00001, MAX(0.001, S47 - (V47 - H47) / W47), S47)</f>
        <v>0.44512277022813057</v>
      </c>
      <c r="Y47">
        <f>(LN(B3/E47) + (B4 + 0.5 * X47 * X47) * D47) / (X47 * SQRT(D47))</f>
        <v>1.239962410898975</v>
      </c>
      <c r="Z47">
        <f>Y47 - X47 * SQRT(D47)</f>
        <v>0.9764569113509525</v>
      </c>
      <c r="AA47">
        <f>E47 * EXP(-B4 * D47) * _xlfn.NORM.S.DIST(-Z47, TRUE) - B3 * _xlfn.NORM.S.DIST(-Y47, TRUE)</f>
        <v>3.425427697909104</v>
      </c>
      <c r="AB47">
        <f>B3 * SQRT(D47) * _xlfn.NORM.S.DIST(Y47, FALSE)</f>
        <v>24.534491408258</v>
      </c>
      <c r="AC47">
        <f>IF(AB47 &gt; 0.00001, MAX(0.001, X47 - (AA47 - H47) / AB47), X47)</f>
        <v>0.4451053377123312</v>
      </c>
      <c r="AD47">
        <f>(LN(B3/E47) + (B4 + 0.5 * AC47 * AC47) * D47) / (AC47 * SQRT(D47))</f>
        <v>1.2400006539597566</v>
      </c>
      <c r="AE47">
        <f>IF(AB47 &gt; 0.00001, MAX(0.001, AC47 - ((E47 * EXP(-B4 * D47) * _xlfn.NORM.S.DIST(-(AD47 - AC47 * SQRT(D47)), TRUE) - B3 * _xlfn.NORM.S.DIST(-AD47, TRUE)) - H47) / (B3 * SQRT(D47) * _xlfn.NORM.S.DIST(AD47, FALSE))), AC47)</f>
        <v>0.4451053372989955</v>
      </c>
    </row>
    <row r="48" spans="1:31">
      <c r="A48" t="s">
        <v>81</v>
      </c>
      <c r="B48" t="s">
        <v>78</v>
      </c>
      <c r="C48">
        <f>DATEVALUE(B48)-DATEVALUE(B5)</f>
        <v>128</v>
      </c>
      <c r="D48">
        <f>C48/365.25</f>
        <v>0.35044490075290896</v>
      </c>
      <c r="E48">
        <v>180</v>
      </c>
      <c r="F48">
        <v>4.85</v>
      </c>
      <c r="G48">
        <v>5.05</v>
      </c>
      <c r="H48">
        <f>(F48+G48)/2</f>
        <v>4.949999999999999</v>
      </c>
      <c r="I48">
        <f>AE48</f>
        <v>0.4328840246873751</v>
      </c>
      <c r="J48">
        <v>0.4162656030273437</v>
      </c>
      <c r="K48">
        <f>ABS(I48-J48)</f>
        <v>0.016618421660031357</v>
      </c>
      <c r="L48">
        <f>-_xlfn.NORM.S.DIST(-AD48, TRUE)</f>
        <v>-0.14809849013124632</v>
      </c>
      <c r="M48">
        <f>B3 * SQRT(D48) * _xlfn.NORM.S.DIST(AD48, FALSE) / 100</f>
        <v>0.30667827033329664</v>
      </c>
      <c r="N48">
        <v>0.4</v>
      </c>
      <c r="O48">
        <f>(LN(B3/E48) + (B4 + 0.5 * N48 * N48) * D48) / (N48 * SQRT(D48))</f>
        <v>1.110235145318783</v>
      </c>
      <c r="P48">
        <f>O48 - N48 * SQRT(D48)</f>
        <v>0.8734415978550368</v>
      </c>
      <c r="Q48">
        <f>E48 * EXP(-B4 * D48) * _xlfn.NORM.S.DIST(-P48, TRUE) - B3 * _xlfn.NORM.S.DIST(-O48, TRUE)</f>
        <v>3.9749487258182405</v>
      </c>
      <c r="R48">
        <f>B3 * SQRT(D48) * _xlfn.NORM.S.DIST(O48, FALSE)</f>
        <v>28.57471658550885</v>
      </c>
      <c r="S48">
        <f>IF(R48 &gt; 0.00001, MAX(0.001, N48 - (Q48 - H48) / R48), N48)</f>
        <v>0.4341228677199283</v>
      </c>
      <c r="T48">
        <f>(LN(B3/E48) + (B4 + 0.5 * S48 * S48) * D48) / (S48 * SQRT(D48))</f>
        <v>1.0423748916057778</v>
      </c>
      <c r="U48">
        <f>T48 - S48 * SQRT(D48)</f>
        <v>0.7853811568994367</v>
      </c>
      <c r="V48">
        <f>E48 * EXP(-B4 * D48) * _xlfn.NORM.S.DIST(-U48, TRUE) - B3 * _xlfn.NORM.S.DIST(-T48, TRUE)</f>
        <v>4.988037298994705</v>
      </c>
      <c r="W48">
        <f>B3 * SQRT(D48) * _xlfn.NORM.S.DIST(T48, FALSE)</f>
        <v>30.73987350144881</v>
      </c>
      <c r="X48">
        <f>IF(W48 &gt; 0.00001, MAX(0.001, S48 - (V48 - H48) / W48), S48)</f>
        <v>0.43288547489224105</v>
      </c>
      <c r="Y48">
        <f>(LN(B3/E48) + (B4 + 0.5 * X48 * X48) * D48) / (X48 * SQRT(D48))</f>
        <v>1.0446209318920205</v>
      </c>
      <c r="Z48">
        <f>Y48 - X48 * SQRT(D48)</f>
        <v>0.7883597137788649</v>
      </c>
      <c r="AA48">
        <f>E48 * EXP(-B4 * D48) * _xlfn.NORM.S.DIST(-Z48, TRUE) - B3 * _xlfn.NORM.S.DIST(-Y48, TRUE)</f>
        <v>4.9500444746933425</v>
      </c>
      <c r="AB48">
        <f>B3 * SQRT(D48) * _xlfn.NORM.S.DIST(Y48, FALSE)</f>
        <v>30.667911643922302</v>
      </c>
      <c r="AC48">
        <f>IF(AB48 &gt; 0.00001, MAX(0.001, X48 - (AA48 - H48) / AB48), X48)</f>
        <v>0.4328840246893756</v>
      </c>
      <c r="AD48">
        <f>(LN(B3/E48) + (B4 + 0.5 * AC48 * AC48) * D48) / (AC48 * SQRT(D48))</f>
        <v>1.0446235729738655</v>
      </c>
      <c r="AE48">
        <f>IF(AB48 &gt; 0.00001, MAX(0.001, AC48 - ((E48 * EXP(-B4 * D48) * _xlfn.NORM.S.DIST(-(AD48 - AC48 * SQRT(D48)), TRUE) - B3 * _xlfn.NORM.S.DIST(-AD48, TRUE)) - H48) / (B3 * SQRT(D48) * _xlfn.NORM.S.DIST(AD48, FALSE))), AC48)</f>
        <v>0.4328840246873751</v>
      </c>
    </row>
    <row r="49" spans="1:31">
      <c r="A49" t="s">
        <v>82</v>
      </c>
      <c r="B49" t="s">
        <v>78</v>
      </c>
      <c r="C49">
        <f>DATEVALUE(B49)-DATEVALUE(B5)</f>
        <v>128</v>
      </c>
      <c r="D49">
        <f>C49/365.25</f>
        <v>0.35044490075290896</v>
      </c>
      <c r="E49">
        <v>190</v>
      </c>
      <c r="F49">
        <v>6.95</v>
      </c>
      <c r="G49">
        <v>7.15</v>
      </c>
      <c r="H49">
        <f>(F49+G49)/2</f>
        <v>7.050000000000001</v>
      </c>
      <c r="I49">
        <f>AE49</f>
        <v>0.4236988066001565</v>
      </c>
      <c r="J49">
        <v>0.4041197283935547</v>
      </c>
      <c r="K49">
        <f>ABS(I49-J49)</f>
        <v>0.01957907820660182</v>
      </c>
      <c r="L49">
        <f>-_xlfn.NORM.S.DIST(-AD49, TRUE)</f>
        <v>-0.19871674898352307</v>
      </c>
      <c r="M49">
        <f>B3 * SQRT(D49) * _xlfn.NORM.S.DIST(AD49, FALSE) / 100</f>
        <v>0.36995432259321204</v>
      </c>
      <c r="N49">
        <v>0.4</v>
      </c>
      <c r="O49">
        <f>(LN(B3/E49) + (B4 + 0.5 * N49 * N49) * D49) / (N49 * SQRT(D49))</f>
        <v>0.8819045094151439</v>
      </c>
      <c r="P49">
        <f>O49 - N49 * SQRT(D49)</f>
        <v>0.6451109619513976</v>
      </c>
      <c r="Q49">
        <f>E49 * EXP(-B4 * D49) * _xlfn.NORM.S.DIST(-P49, TRUE) - B3 * _xlfn.NORM.S.DIST(-O49, TRUE)</f>
        <v>6.186236229908069</v>
      </c>
      <c r="R49">
        <f>B3 * SQRT(D49) * _xlfn.NORM.S.DIST(O49, FALSE)</f>
        <v>35.87194624806009</v>
      </c>
      <c r="S49">
        <f>IF(R49 &gt; 0.00001, MAX(0.001, N49 - (Q49 - H49) / R49), N49)</f>
        <v>0.42407908854788284</v>
      </c>
      <c r="T49">
        <f>(LN(B3/E49) + (B4 + 0.5 * S49 * S49) * D49) / (S49 * SQRT(D49))</f>
        <v>0.8456799760066049</v>
      </c>
      <c r="U49">
        <f>T49 - S49 * SQRT(D49)</f>
        <v>0.5946319965504916</v>
      </c>
      <c r="V49">
        <f>E49 * EXP(-B4 * D49) * _xlfn.NORM.S.DIST(-U49, TRUE) - B3 * _xlfn.NORM.S.DIST(-T49, TRUE)</f>
        <v>7.064071873477367</v>
      </c>
      <c r="W49">
        <f>B3 * SQRT(D49) * _xlfn.NORM.S.DIST(T49, FALSE)</f>
        <v>37.01214194198582</v>
      </c>
      <c r="X49">
        <f>IF(W49 &gt; 0.00001, MAX(0.001, S49 - (V49 - H49) / W49), S49)</f>
        <v>0.4236988924084802</v>
      </c>
      <c r="Y49">
        <f>(LN(B3/E49) + (B4 + 0.5 * X49 * X49) * D49) / (X49 * SQRT(D49))</f>
        <v>0.8462136558884131</v>
      </c>
      <c r="Z49">
        <f>Y49 - X49 * SQRT(D49)</f>
        <v>0.5953907464137527</v>
      </c>
      <c r="AA49">
        <f>E49 * EXP(-B4 * D49) * _xlfn.NORM.S.DIST(-Z49, TRUE) - B3 * _xlfn.NORM.S.DIST(-Y49, TRUE)</f>
        <v>7.050003174516185</v>
      </c>
      <c r="AB49">
        <f>B3 * SQRT(D49) * _xlfn.NORM.S.DIST(Y49, FALSE)</f>
        <v>36.995436034195045</v>
      </c>
      <c r="AC49">
        <f>IF(AB49 &gt; 0.00001, MAX(0.001, X49 - (AA49 - H49) / AB49), X49)</f>
        <v>0.423698806600161</v>
      </c>
      <c r="AD49">
        <f>(LN(B3/E49) + (B4 + 0.5 * AC49 * AC49) * D49) / (AC49 * SQRT(D49))</f>
        <v>0.8462137764681282</v>
      </c>
      <c r="AE49">
        <f>IF(AB49 &gt; 0.00001, MAX(0.001, AC49 - ((E49 * EXP(-B4 * D49) * _xlfn.NORM.S.DIST(-(AD49 - AC49 * SQRT(D49)), TRUE) - B3 * _xlfn.NORM.S.DIST(-AD49, TRUE)) - H49) / (B3 * SQRT(D49) * _xlfn.NORM.S.DIST(AD49, FALSE))), AC49)</f>
        <v>0.4236988066001565</v>
      </c>
    </row>
    <row r="50" spans="1:31">
      <c r="A50" t="s">
        <v>83</v>
      </c>
      <c r="B50" t="s">
        <v>78</v>
      </c>
      <c r="C50">
        <f>DATEVALUE(B50)-DATEVALUE(B5)</f>
        <v>128</v>
      </c>
      <c r="D50">
        <f>C50/365.25</f>
        <v>0.35044490075290896</v>
      </c>
      <c r="E50">
        <v>200</v>
      </c>
      <c r="F50">
        <v>9.65</v>
      </c>
      <c r="G50">
        <v>9.9</v>
      </c>
      <c r="H50">
        <f>(F50+G50)/2</f>
        <v>9.775</v>
      </c>
      <c r="I50">
        <f>AE50</f>
        <v>0.41574155542187324</v>
      </c>
      <c r="J50">
        <v>0.3934081655883789</v>
      </c>
      <c r="K50">
        <f>ABS(I50-J50)</f>
        <v>0.022333389833494366</v>
      </c>
      <c r="L50">
        <f>-_xlfn.NORM.S.DIST(-AD50, TRUE)</f>
        <v>-0.2580915049019298</v>
      </c>
      <c r="M50">
        <f>B3 * SQRT(D50) * _xlfn.NORM.S.DIST(AD50, FALSE) / 100</f>
        <v>0.4286590648448004</v>
      </c>
      <c r="N50">
        <v>0.4</v>
      </c>
      <c r="O50">
        <f>(LN(B3/E50) + (B4 + 0.5 * N50 * N50) * D50) / (N50 * SQRT(D50))</f>
        <v>0.6652884109743546</v>
      </c>
      <c r="P50">
        <f>O50 - N50 * SQRT(D50)</f>
        <v>0.4284948635106084</v>
      </c>
      <c r="Q50">
        <f>E50 * EXP(-B4 * D50) * _xlfn.NORM.S.DIST(-P50, TRUE) - B3 * _xlfn.NORM.S.DIST(-O50, TRUE)</f>
        <v>9.103697005205795</v>
      </c>
      <c r="R50">
        <f>B3 * SQRT(D50) * _xlfn.NORM.S.DIST(O50, FALSE)</f>
        <v>42.41614191907206</v>
      </c>
      <c r="S50">
        <f>IF(R50 &gt; 0.00001, MAX(0.001, N50 - (Q50 - H50) / R50), N50)</f>
        <v>0.4158265925287363</v>
      </c>
      <c r="T50">
        <f>(LN(B3/E50) + (B4 + 0.5 * S50 * S50) * D50) / (S50 * SQRT(D50))</f>
        <v>0.6491579533243287</v>
      </c>
      <c r="U50">
        <f>T50 - S50 * SQRT(D50)</f>
        <v>0.40299531838772573</v>
      </c>
      <c r="V50">
        <f>E50 * EXP(-B4 * D50) * _xlfn.NORM.S.DIST(-U50, TRUE) - B3 * _xlfn.NORM.S.DIST(-T50, TRUE)</f>
        <v>9.778645290222492</v>
      </c>
      <c r="W50">
        <f>B3 * SQRT(D50) * _xlfn.NORM.S.DIST(T50, FALSE)</f>
        <v>42.86820059192686</v>
      </c>
      <c r="X50">
        <f>IF(W50 &gt; 0.00001, MAX(0.001, S50 - (V50 - H50) / W50), S50)</f>
        <v>0.41574155769703924</v>
      </c>
      <c r="Y50">
        <f>(LN(B3/E50) + (B4 + 0.5 * X50 * X50) * D50) / (X50 * SQRT(D50))</f>
        <v>0.6492403862173943</v>
      </c>
      <c r="Z50">
        <f>Y50 - X50 * SQRT(D50)</f>
        <v>0.4031280905294302</v>
      </c>
      <c r="AA50">
        <f>E50 * EXP(-B4 * D50) * _xlfn.NORM.S.DIST(-Z50, TRUE) - B3 * _xlfn.NORM.S.DIST(-Y50, TRUE)</f>
        <v>9.775000097527048</v>
      </c>
      <c r="AB50">
        <f>B3 * SQRT(D50) * _xlfn.NORM.S.DIST(Y50, FALSE)</f>
        <v>42.865906545877465</v>
      </c>
      <c r="AC50">
        <f>IF(AB50 &gt; 0.00001, MAX(0.001, X50 - (AA50 - H50) / AB50), X50)</f>
        <v>0.41574155542187335</v>
      </c>
      <c r="AD50">
        <f>(LN(B3/E50) + (B4 + 0.5 * AC50 * AC50) * D50) / (AC50 * SQRT(D50))</f>
        <v>0.6492403884235324</v>
      </c>
      <c r="AE50">
        <f>IF(AB50 &gt; 0.00001, MAX(0.001, AC50 - ((E50 * EXP(-B4 * D50) * _xlfn.NORM.S.DIST(-(AD50 - AC50 * SQRT(D50)), TRUE) - B3 * _xlfn.NORM.S.DIST(-AD50, TRUE)) - H50) / (B3 * SQRT(D50) * _xlfn.NORM.S.DIST(AD50, FALSE))), AC50)</f>
        <v>0.41574155542187324</v>
      </c>
    </row>
    <row r="51" spans="1:31">
      <c r="A51" t="s">
        <v>84</v>
      </c>
      <c r="B51" t="s">
        <v>78</v>
      </c>
      <c r="C51">
        <f>DATEVALUE(B51)-DATEVALUE(B5)</f>
        <v>128</v>
      </c>
      <c r="D51">
        <f>C51/365.25</f>
        <v>0.35044490075290896</v>
      </c>
      <c r="E51">
        <v>210</v>
      </c>
      <c r="F51">
        <v>13.15</v>
      </c>
      <c r="G51">
        <v>13.4</v>
      </c>
      <c r="H51">
        <f>(F51+G51)/2</f>
        <v>13.275</v>
      </c>
      <c r="I51">
        <f>AE51</f>
        <v>0.41048890702662466</v>
      </c>
      <c r="J51">
        <v>0.3841614318847656</v>
      </c>
      <c r="K51">
        <f>ABS(I51-J51)</f>
        <v>0.02632747514185907</v>
      </c>
      <c r="L51">
        <f>-_xlfn.NORM.S.DIST(-AD51, TRUE)</f>
        <v>-0.32504452055956345</v>
      </c>
      <c r="M51">
        <f>B3 * SQRT(D51) * _xlfn.NORM.S.DIST(AD51, FALSE) / 100</f>
        <v>0.47748105357337933</v>
      </c>
      <c r="N51">
        <v>0.4</v>
      </c>
      <c r="O51">
        <f>(LN(B3/E51) + (B4 + 0.5 * N51 * N51) * D51) / (N51 * SQRT(D51))</f>
        <v>0.4592432518388344</v>
      </c>
      <c r="P51">
        <f>O51 - N51 * SQRT(D51)</f>
        <v>0.22244970437508815</v>
      </c>
      <c r="Q51">
        <f>E51 * EXP(-B4 * D51) * _xlfn.NORM.S.DIST(-P51, TRUE) - B3 * _xlfn.NORM.S.DIST(-O51, TRUE)</f>
        <v>12.774804744983925</v>
      </c>
      <c r="R51">
        <f>B3 * SQRT(D51) * _xlfn.NORM.S.DIST(O51, FALSE)</f>
        <v>47.62611037496818</v>
      </c>
      <c r="S51">
        <f>IF(R51 &gt; 0.00001, MAX(0.001, N51 - (Q51 - H51) / R51), N51)</f>
        <v>0.4105025426405381</v>
      </c>
      <c r="T51">
        <f>(LN(B3/E51) + (B4 + 0.5 * S51 * S51) * D51) / (S51 * SQRT(D51))</f>
        <v>0.4536314995377158</v>
      </c>
      <c r="U51">
        <f>T51 - S51 * SQRT(D51)</f>
        <v>0.2106206162508639</v>
      </c>
      <c r="V51">
        <f>E51 * EXP(-B4 * D51) * _xlfn.NORM.S.DIST(-U51, TRUE) - B3 * _xlfn.NORM.S.DIST(-T51, TRUE)</f>
        <v>13.275651075762994</v>
      </c>
      <c r="W51">
        <f>B3 * SQRT(D51) * _xlfn.NORM.S.DIST(T51, FALSE)</f>
        <v>47.7482569038193</v>
      </c>
      <c r="X51">
        <f>IF(W51 &gt; 0.00001, MAX(0.001, S51 - (V51 - H51) / W51), S51)</f>
        <v>0.41048890704826285</v>
      </c>
      <c r="Y51">
        <f>(LN(B3/E51) + (B4 + 0.5 * X51 * X51) * D51) / (X51 * SQRT(D51))</f>
        <v>0.4536384960529255</v>
      </c>
      <c r="Z51">
        <f>Y51 - X51 * SQRT(D51)</f>
        <v>0.21063568481674014</v>
      </c>
      <c r="AA51">
        <f>E51 * EXP(-B4 * D51) * _xlfn.NORM.S.DIST(-Z51, TRUE) - B3 * _xlfn.NORM.S.DIST(-Y51, TRUE)</f>
        <v>13.275000001033177</v>
      </c>
      <c r="AB51">
        <f>B3 * SQRT(D51) * _xlfn.NORM.S.DIST(Y51, FALSE)</f>
        <v>47.748105357578424</v>
      </c>
      <c r="AC51">
        <f>IF(AB51 &gt; 0.00001, MAX(0.001, X51 - (AA51 - H51) / AB51), X51)</f>
        <v>0.41048890702662477</v>
      </c>
      <c r="AD51">
        <f>(LN(B3/E51) + (B4 + 0.5 * AC51 * AC51) * D51) / (AC51 * SQRT(D51))</f>
        <v>0.4536384960640287</v>
      </c>
      <c r="AE51">
        <f>IF(AB51 &gt; 0.00001, MAX(0.001, AC51 - ((E51 * EXP(-B4 * D51) * _xlfn.NORM.S.DIST(-(AD51 - AC51 * SQRT(D51)), TRUE) - B3 * _xlfn.NORM.S.DIST(-AD51, TRUE)) - H51) / (B3 * SQRT(D51) * _xlfn.NORM.S.DIST(AD51, FALSE))), AC51)</f>
        <v>0.41048890702662466</v>
      </c>
    </row>
    <row r="52" spans="1:31">
      <c r="A52" t="s">
        <v>85</v>
      </c>
      <c r="B52" t="s">
        <v>78</v>
      </c>
      <c r="C52">
        <f>DATEVALUE(B52)-DATEVALUE(B5)</f>
        <v>128</v>
      </c>
      <c r="D52">
        <f>C52/365.25</f>
        <v>0.35044490075290896</v>
      </c>
      <c r="E52">
        <v>215</v>
      </c>
      <c r="F52">
        <v>15.2</v>
      </c>
      <c r="G52">
        <v>15.55</v>
      </c>
      <c r="H52">
        <f>(F52+G52)/2</f>
        <v>15.375</v>
      </c>
      <c r="I52">
        <f>AE52</f>
        <v>0.4095978311037622</v>
      </c>
      <c r="J52">
        <v>0.3819641882324218</v>
      </c>
      <c r="K52">
        <f>ABS(I52-J52)</f>
        <v>0.027633642871340403</v>
      </c>
      <c r="L52">
        <f>-_xlfn.NORM.S.DIST(-AD52, TRUE)</f>
        <v>-0.3605255233225098</v>
      </c>
      <c r="M52">
        <f>B3 * SQRT(D52) * _xlfn.NORM.S.DIST(AD52, FALSE) / 100</f>
        <v>0.4965451841592799</v>
      </c>
      <c r="N52">
        <v>0.4</v>
      </c>
      <c r="O52">
        <f>(LN(B3/E52) + (B4 + 0.5 * N52 * N52) * D52) / (N52 * SQRT(D52))</f>
        <v>0.35987188947602855</v>
      </c>
      <c r="P52">
        <f>O52 - N52 * SQRT(D52)</f>
        <v>0.1230783420122823</v>
      </c>
      <c r="Q52">
        <f>E52 * EXP(-B4 * D52) * _xlfn.NORM.S.DIST(-P52, TRUE) - B3 * _xlfn.NORM.S.DIST(-O52, TRUE)</f>
        <v>14.898660763430826</v>
      </c>
      <c r="R52">
        <f>B3 * SQRT(D52) * _xlfn.NORM.S.DIST(O52, FALSE)</f>
        <v>49.604395159773375</v>
      </c>
      <c r="S52">
        <f>IF(R52 &gt; 0.00001, MAX(0.001, N52 - (Q52 - H52) / R52), N52)</f>
        <v>0.40960276271961205</v>
      </c>
      <c r="T52">
        <f>(LN(B3/E52) + (B4 + 0.5 * S52 * S52) * D52) / (S52 * SQRT(D52))</f>
        <v>0.3570530662166008</v>
      </c>
      <c r="U52">
        <f>T52 - S52 * SQRT(D52)</f>
        <v>0.11457483812828073</v>
      </c>
      <c r="V52">
        <f>E52 * EXP(-B4 * D52) * _xlfn.NORM.S.DIST(-U52, TRUE) - B3 * _xlfn.NORM.S.DIST(-T52, TRUE)</f>
        <v>15.375244877070358</v>
      </c>
      <c r="W52">
        <f>B3 * SQRT(D52) * _xlfn.NORM.S.DIST(T52, FALSE)</f>
        <v>49.654542873811025</v>
      </c>
      <c r="X52">
        <f>IF(W52 &gt; 0.00001, MAX(0.001, S52 - (V52 - H52) / W52), S52)</f>
        <v>0.4095978311049765</v>
      </c>
      <c r="Y52">
        <f>(LN(B3/E52) + (B4 + 0.5 * X52 * X52) * D52) / (X52 * SQRT(D52))</f>
        <v>0.35705444573110123</v>
      </c>
      <c r="Z52">
        <f>Y52 - X52 * SQRT(D52)</f>
        <v>0.11457913707909181</v>
      </c>
      <c r="AA52">
        <f>E52 * EXP(-B4 * D52) * _xlfn.NORM.S.DIST(-Z52, TRUE) - B3 * _xlfn.NORM.S.DIST(-Y52, TRUE)</f>
        <v>15.375000000060282</v>
      </c>
      <c r="AB52">
        <f>B3 * SQRT(D52) * _xlfn.NORM.S.DIST(Y52, FALSE)</f>
        <v>49.654518415934014</v>
      </c>
      <c r="AC52">
        <f>IF(AB52 &gt; 0.00001, MAX(0.001, X52 - (AA52 - H52) / AB52), X52)</f>
        <v>0.40959783110376247</v>
      </c>
      <c r="AD52">
        <f>(LN(B3/E52) + (B4 + 0.5 * AC52 * AC52) * D52) / (AC52 * SQRT(D52))</f>
        <v>0.35705444573144085</v>
      </c>
      <c r="AE52">
        <f>IF(AB52 &gt; 0.00001, MAX(0.001, AC52 - ((E52 * EXP(-B4 * D52) * _xlfn.NORM.S.DIST(-(AD52 - AC52 * SQRT(D52)), TRUE) - B3 * _xlfn.NORM.S.DIST(-AD52, TRUE)) - H52) / (B3 * SQRT(D52) * _xlfn.NORM.S.DIST(AD52, FALSE))), AC52)</f>
        <v>0.4095978311037622</v>
      </c>
    </row>
    <row r="53" spans="1:31">
      <c r="A53" t="s">
        <v>86</v>
      </c>
      <c r="B53" t="s">
        <v>78</v>
      </c>
      <c r="C53">
        <f>DATEVALUE(B53)-DATEVALUE(B5)</f>
        <v>128</v>
      </c>
      <c r="D53">
        <f>C53/365.25</f>
        <v>0.35044490075290896</v>
      </c>
      <c r="E53">
        <v>220</v>
      </c>
      <c r="F53">
        <v>17.4</v>
      </c>
      <c r="G53">
        <v>17.7</v>
      </c>
      <c r="H53">
        <f>(F53+G53)/2</f>
        <v>17.549999999999997</v>
      </c>
      <c r="I53">
        <f>AE53</f>
        <v>0.4065764179065696</v>
      </c>
      <c r="J53">
        <v>0.375982802734375</v>
      </c>
      <c r="K53">
        <f>ABS(I53-J53)</f>
        <v>0.03059361517219461</v>
      </c>
      <c r="L53">
        <f>-_xlfn.NORM.S.DIST(-AD53, TRUE)</f>
        <v>-0.3965080013685478</v>
      </c>
      <c r="M53">
        <f>B3 * SQRT(D53) * _xlfn.NORM.S.DIST(AD53, FALSE) / 100</f>
        <v>0.5113184268546989</v>
      </c>
      <c r="N53">
        <v>0.4</v>
      </c>
      <c r="O53">
        <f>(LN(B3/E53) + (B4 + 0.5 * N53 * N53) * D53) / (N53 * SQRT(D53))</f>
        <v>0.2627851298453912</v>
      </c>
      <c r="P53">
        <f>O53 - N53 * SQRT(D53)</f>
        <v>0.02599158238164495</v>
      </c>
      <c r="Q53">
        <f>E53 * EXP(-B4 * D53) * _xlfn.NORM.S.DIST(-P53, TRUE) - B3 * _xlfn.NORM.S.DIST(-O53, TRUE)</f>
        <v>17.213752240159707</v>
      </c>
      <c r="R53">
        <f>B3 * SQRT(D53) * _xlfn.NORM.S.DIST(O53, FALSE)</f>
        <v>51.12662087827121</v>
      </c>
      <c r="S53">
        <f>IF(R53 &gt; 0.00001, MAX(0.001, N53 - (Q53 - H53) / R53), N53)</f>
        <v>0.40657676478640886</v>
      </c>
      <c r="T53">
        <f>(LN(B3/E53) + (B4 + 0.5 * S53 * S53) * D53) / (S53 * SQRT(D53))</f>
        <v>0.26239618057149855</v>
      </c>
      <c r="U53">
        <f>T53 - S53 * SQRT(D53)</f>
        <v>0.02170929444623132</v>
      </c>
      <c r="V53">
        <f>E53 * EXP(-B4 * D53) * _xlfn.NORM.S.DIST(-U53, TRUE) - B3 * _xlfn.NORM.S.DIST(-T53, TRUE)</f>
        <v>17.550017736605398</v>
      </c>
      <c r="W53">
        <f>B3 * SQRT(D53) * _xlfn.NORM.S.DIST(T53, FALSE)</f>
        <v>51.13184293397402</v>
      </c>
      <c r="X53">
        <f>IF(W53 &gt; 0.00001, MAX(0.001, S53 - (V53 - H53) / W53), S53)</f>
        <v>0.40657641790657073</v>
      </c>
      <c r="Y53">
        <f>(LN(B3/E53) + (B4 + 0.5 * X53 * X53) * D53) / (X53 * SQRT(D53))</f>
        <v>0.26239619909336015</v>
      </c>
      <c r="Z53">
        <f>Y53 - X53 * SQRT(D53)</f>
        <v>0.021709518315361442</v>
      </c>
      <c r="AA53">
        <f>E53 * EXP(-B4 * D53) * _xlfn.NORM.S.DIST(-Z53, TRUE) - B3 * _xlfn.NORM.S.DIST(-Y53, TRUE)</f>
        <v>17.55000000000004</v>
      </c>
      <c r="AB53">
        <f>B3 * SQRT(D53) * _xlfn.NORM.S.DIST(Y53, FALSE)</f>
        <v>51.13184268546989</v>
      </c>
      <c r="AC53">
        <f>IF(AB53 &gt; 0.00001, MAX(0.001, X53 - (AA53 - H53) / AB53), X53)</f>
        <v>0.4065764179065699</v>
      </c>
      <c r="AD53">
        <f>(LN(B3/E53) + (B4 + 0.5 * AC53 * AC53) * D53) / (AC53 * SQRT(D53))</f>
        <v>0.2623961990933602</v>
      </c>
      <c r="AE53">
        <f>IF(AB53 &gt; 0.00001, MAX(0.001, AC53 - ((E53 * EXP(-B4 * D53) * _xlfn.NORM.S.DIST(-(AD53 - AC53 * SQRT(D53)), TRUE) - B3 * _xlfn.NORM.S.DIST(-AD53, TRUE)) - H53) / (B3 * SQRT(D53) * _xlfn.NORM.S.DIST(AD53, FALSE))), AC53)</f>
        <v>0.4065764179065696</v>
      </c>
    </row>
    <row r="54" spans="1:31">
      <c r="A54" t="s">
        <v>87</v>
      </c>
      <c r="B54" t="s">
        <v>78</v>
      </c>
      <c r="C54">
        <f>DATEVALUE(B54)-DATEVALUE(B5)</f>
        <v>128</v>
      </c>
      <c r="D54">
        <f>C54/365.25</f>
        <v>0.35044490075290896</v>
      </c>
      <c r="E54">
        <v>225</v>
      </c>
      <c r="F54">
        <v>19.8</v>
      </c>
      <c r="G54">
        <v>20.2</v>
      </c>
      <c r="H54">
        <f>(F54+G54)/2</f>
        <v>20</v>
      </c>
      <c r="I54">
        <f>AE54</f>
        <v>0.4054217293984456</v>
      </c>
      <c r="J54">
        <v>0.3729921099853516</v>
      </c>
      <c r="K54">
        <f>ABS(I54-J54)</f>
        <v>0.032429619413094024</v>
      </c>
      <c r="L54">
        <f>-_xlfn.NORM.S.DIST(-AD54, TRUE)</f>
        <v>-0.43296780621714764</v>
      </c>
      <c r="M54">
        <f>B3 * SQRT(D54) * _xlfn.NORM.S.DIST(AD54, FALSE) / 100</f>
        <v>0.5217391582180159</v>
      </c>
      <c r="N54">
        <v>0.4</v>
      </c>
      <c r="O54">
        <f>(LN(B3/E54) + (B4 + 0.5 * N54 * N54) * D54) / (N54 * SQRT(D54))</f>
        <v>0.16788028090520116</v>
      </c>
      <c r="P54">
        <f>O54 - N54 * SQRT(D54)</f>
        <v>-0.0689132665585451</v>
      </c>
      <c r="Q54">
        <f>E54 * EXP(-B4 * D54) * _xlfn.NORM.S.DIST(-P54, TRUE) - B3 * _xlfn.NORM.S.DIST(-O54, TRUE)</f>
        <v>19.717104599033902</v>
      </c>
      <c r="R54">
        <f>B3 * SQRT(D54) * _xlfn.NORM.S.DIST(O54, FALSE)</f>
        <v>52.182199759376886</v>
      </c>
      <c r="S54">
        <f>IF(R54 &gt; 0.00001, MAX(0.001, N54 - (Q54 - H54) / R54), N54)</f>
        <v>0.4054213007935769</v>
      </c>
      <c r="T54">
        <f>(LN(B3/E54) + (B4 + 0.5 * S54 * S54) * D54) / (S54 * SQRT(D54))</f>
        <v>0.16882324788192032</v>
      </c>
      <c r="U54">
        <f>T54 - S54 * SQRT(D54)</f>
        <v>-0.07117962219877366</v>
      </c>
      <c r="V54">
        <f>E54 * EXP(-B4 * D54) * _xlfn.NORM.S.DIST(-U54, TRUE) - B3 * _xlfn.NORM.S.DIST(-T54, TRUE)</f>
        <v>19.999977638005532</v>
      </c>
      <c r="W54">
        <f>B3 * SQRT(D54) * _xlfn.NORM.S.DIST(T54, FALSE)</f>
        <v>52.17391648461657</v>
      </c>
      <c r="X54">
        <f>IF(W54 &gt; 0.00001, MAX(0.001, S54 - (V54 - H54) / W54), S54)</f>
        <v>0.4054217293984426</v>
      </c>
      <c r="Y54">
        <f>(LN(B3/E54) + (B4 + 0.5 * X54 * X54) * D54) / (X54 * SQRT(D54))</f>
        <v>0.1688233231319244</v>
      </c>
      <c r="Z54">
        <f>Y54 - X54 * SQRT(D54)</f>
        <v>-0.0711798006759361</v>
      </c>
      <c r="AA54">
        <f>E54 * EXP(-B4 * D54) * _xlfn.NORM.S.DIST(-Z54, TRUE) - B3 * _xlfn.NORM.S.DIST(-Y54, TRUE)</f>
        <v>19.999999999999872</v>
      </c>
      <c r="AB54">
        <f>B3 * SQRT(D54) * _xlfn.NORM.S.DIST(Y54, FALSE)</f>
        <v>52.173915821801586</v>
      </c>
      <c r="AC54">
        <f>IF(AB54 &gt; 0.00001, MAX(0.001, X54 - (AA54 - H54) / AB54), X54)</f>
        <v>0.40542172939844506</v>
      </c>
      <c r="AD54">
        <f>(LN(B3/E54) + (B4 + 0.5 * AC54 * AC54) * D54) / (AC54 * SQRT(D54))</f>
        <v>0.16882332313192483</v>
      </c>
      <c r="AE54">
        <f>IF(AB54 &gt; 0.00001, MAX(0.001, AC54 - ((E54 * EXP(-B4 * D54) * _xlfn.NORM.S.DIST(-(AD54 - AC54 * SQRT(D54)), TRUE) - B3 * _xlfn.NORM.S.DIST(-AD54, TRUE)) - H54) / (B3 * SQRT(D54) * _xlfn.NORM.S.DIST(AD54, FALSE))), AC54)</f>
        <v>0.4054217293984456</v>
      </c>
    </row>
    <row r="55" spans="1:31">
      <c r="A55" t="s">
        <v>88</v>
      </c>
      <c r="B55" t="s">
        <v>78</v>
      </c>
      <c r="C55">
        <f>DATEVALUE(B55)-DATEVALUE(B5)</f>
        <v>128</v>
      </c>
      <c r="D55">
        <f>C55/365.25</f>
        <v>0.35044490075290896</v>
      </c>
      <c r="E55">
        <v>230</v>
      </c>
      <c r="F55">
        <v>22.35</v>
      </c>
      <c r="G55">
        <v>22.9</v>
      </c>
      <c r="H55">
        <f>(F55+G55)/2</f>
        <v>22.625</v>
      </c>
      <c r="I55">
        <f>AE55</f>
        <v>0.4041846302089624</v>
      </c>
      <c r="J55">
        <v>0.3700624517822265</v>
      </c>
      <c r="K55">
        <f>ABS(I55-J55)</f>
        <v>0.03412217842673587</v>
      </c>
      <c r="L55">
        <f>-_xlfn.NORM.S.DIST(-AD55, TRUE)</f>
        <v>-0.46941173017849896</v>
      </c>
      <c r="M55">
        <f>B3 * SQRT(D55) * _xlfn.NORM.S.DIST(AD55, FALSE) / 100</f>
        <v>0.5276711362778186</v>
      </c>
      <c r="N55">
        <v>0.4</v>
      </c>
      <c r="O55">
        <f>(LN(B3/E55) + (B4 + 0.5 * N55 * N55) * D55) / (N55 * SQRT(D55))</f>
        <v>0.07506142264581267</v>
      </c>
      <c r="P55">
        <f>O55 - N55 * SQRT(D55)</f>
        <v>-0.1617321248179336</v>
      </c>
      <c r="Q55">
        <f>E55 * EXP(-B4 * D55) * _xlfn.NORM.S.DIST(-P55, TRUE) - B3 * _xlfn.NORM.S.DIST(-O55, TRUE)</f>
        <v>22.404174962367478</v>
      </c>
      <c r="R55">
        <f>B3 * SQRT(D55) * _xlfn.NORM.S.DIST(O55, FALSE)</f>
        <v>52.773872104520514</v>
      </c>
      <c r="S55">
        <f>IF(R55 &gt; 0.00001, MAX(0.001, N55 - (Q55 - H55) / R55), N55)</f>
        <v>0.4041843629968097</v>
      </c>
      <c r="T55">
        <f>(LN(B3/E55) + (B4 + 0.5 * S55 * S55) * D55) / (S55 * SQRT(D55))</f>
        <v>0.07674859432345613</v>
      </c>
      <c r="U55">
        <f>T55 - S55 * SQRT(D55)</f>
        <v>-0.16252202853501663</v>
      </c>
      <c r="V55">
        <f>E55 * EXP(-B4 * D55) * _xlfn.NORM.S.DIST(-U55, TRUE) - B3 * _xlfn.NORM.S.DIST(-T55, TRUE)</f>
        <v>22.624985899985944</v>
      </c>
      <c r="W55">
        <f>B3 * SQRT(D55) * _xlfn.NORM.S.DIST(T55, FALSE)</f>
        <v>52.767114062915766</v>
      </c>
      <c r="X55">
        <f>IF(W55 &gt; 0.00001, MAX(0.001, S55 - (V55 - H55) / W55), S55)</f>
        <v>0.4041846302089608</v>
      </c>
      <c r="Y55">
        <f>(LN(B3/E55) + (B4 + 0.5 * X55 * X55) * D55) / (X55 * SQRT(D55))</f>
        <v>0.07674870176911024</v>
      </c>
      <c r="Z55">
        <f>Y55 - X55 * SQRT(D55)</f>
        <v>-0.16252207927464546</v>
      </c>
      <c r="AA55">
        <f>E55 * EXP(-B4 * D55) * _xlfn.NORM.S.DIST(-Z55, TRUE) - B3 * _xlfn.NORM.S.DIST(-Y55, TRUE)</f>
        <v>22.624999999999943</v>
      </c>
      <c r="AB55">
        <f>B3 * SQRT(D55) * _xlfn.NORM.S.DIST(Y55, FALSE)</f>
        <v>52.76711362778185</v>
      </c>
      <c r="AC55">
        <f>IF(AB55 &gt; 0.00001, MAX(0.001, X55 - (AA55 - H55) / AB55), X55)</f>
        <v>0.40418463020896184</v>
      </c>
      <c r="AD55">
        <f>(LN(B3/E55) + (B4 + 0.5 * AC55 * AC55) * D55) / (AC55 * SQRT(D55))</f>
        <v>0.07674870176911064</v>
      </c>
      <c r="AE55">
        <f>IF(AB55 &gt; 0.00001, MAX(0.001, AC55 - ((E55 * EXP(-B4 * D55) * _xlfn.NORM.S.DIST(-(AD55 - AC55 * SQRT(D55)), TRUE) - B3 * _xlfn.NORM.S.DIST(-AD55, TRUE)) - H55) / (B3 * SQRT(D55) * _xlfn.NORM.S.DIST(AD55, FALSE))), AC55)</f>
        <v>0.4041846302089624</v>
      </c>
    </row>
    <row r="56" spans="1:31">
      <c r="A56" t="s">
        <v>89</v>
      </c>
      <c r="B56" t="s">
        <v>78</v>
      </c>
      <c r="C56">
        <f>DATEVALUE(B56)-DATEVALUE(B5)</f>
        <v>128</v>
      </c>
      <c r="D56">
        <f>C56/365.25</f>
        <v>0.35044490075290896</v>
      </c>
      <c r="E56">
        <v>240</v>
      </c>
      <c r="F56">
        <v>28.35</v>
      </c>
      <c r="G56">
        <v>28.8</v>
      </c>
      <c r="H56">
        <f>(F56+G56)/2</f>
        <v>28.575000000000003</v>
      </c>
      <c r="I56">
        <f>AE56</f>
        <v>0.4051327784238602</v>
      </c>
      <c r="J56">
        <v>0.3628298580932617</v>
      </c>
      <c r="K56">
        <f>ABS(I56-J56)</f>
        <v>0.042302920330598515</v>
      </c>
      <c r="L56">
        <f>-_xlfn.NORM.S.DIST(-AD56, TRUE)</f>
        <v>-0.5399573127825601</v>
      </c>
      <c r="M56">
        <f>B3 * SQRT(D56) * _xlfn.NORM.S.DIST(AD56, FALSE) / 100</f>
        <v>0.5265707772184031</v>
      </c>
      <c r="N56">
        <v>0.4</v>
      </c>
      <c r="O56">
        <f>(LN(B3/E56) + (B4 + 0.5 * N56 * N56) * D56) / (N56 * SQRT(D56))</f>
        <v>-0.10467157630894955</v>
      </c>
      <c r="P56">
        <f>O56 - N56 * SQRT(D56)</f>
        <v>-0.3414651237726958</v>
      </c>
      <c r="Q56">
        <f>E56 * EXP(-B4 * D56) * _xlfn.NORM.S.DIST(-P56, TRUE) - B3 * _xlfn.NORM.S.DIST(-O56, TRUE)</f>
        <v>28.30478247762443</v>
      </c>
      <c r="R56">
        <f>B3 * SQRT(D56) * _xlfn.NORM.S.DIST(O56, FALSE)</f>
        <v>52.633629569188734</v>
      </c>
      <c r="S56">
        <f>IF(R56 &gt; 0.00001, MAX(0.001, N56 - (Q56 - H56) / R56), N56)</f>
        <v>0.40513393289779426</v>
      </c>
      <c r="T56">
        <f>(LN(B3/E56) + (B4 + 0.5 * S56 * S56) * D56) / (S56 * SQRT(D56))</f>
        <v>-0.10032520976731271</v>
      </c>
      <c r="U56">
        <f>T56 - S56 * SQRT(D56)</f>
        <v>-0.34015796268933274</v>
      </c>
      <c r="V56">
        <f>E56 * EXP(-B4 * D56) * _xlfn.NORM.S.DIST(-U56, TRUE) - B3 * _xlfn.NORM.S.DIST(-T56, TRUE)</f>
        <v>28.575060791226633</v>
      </c>
      <c r="W56">
        <f>B3 * SQRT(D56) * _xlfn.NORM.S.DIST(T56, FALSE)</f>
        <v>52.65708284261778</v>
      </c>
      <c r="X56">
        <f>IF(W56 &gt; 0.00001, MAX(0.001, S56 - (V56 - H56) / W56), S56)</f>
        <v>0.4051327784239163</v>
      </c>
      <c r="Y56">
        <f>(LN(B3/E56) + (B4 + 0.5 * X56 * X56) * D56) / (X56 * SQRT(D56))</f>
        <v>-0.10032617908677711</v>
      </c>
      <c r="Z56">
        <f>Y56 - X56 * SQRT(D56)</f>
        <v>-0.34015824857888466</v>
      </c>
      <c r="AA56">
        <f>E56 * EXP(-B4 * D56) * _xlfn.NORM.S.DIST(-Z56, TRUE) - B3 * _xlfn.NORM.S.DIST(-Y56, TRUE)</f>
        <v>28.57500000000296</v>
      </c>
      <c r="AB56">
        <f>B3 * SQRT(D56) * _xlfn.NORM.S.DIST(Y56, FALSE)</f>
        <v>52.65707772184056</v>
      </c>
      <c r="AC56">
        <f>IF(AB56 &gt; 0.00001, MAX(0.001, X56 - (AA56 - H56) / AB56), X56)</f>
        <v>0.4051327784238602</v>
      </c>
      <c r="AD56">
        <f>(LN(B3/E56) + (B4 + 0.5 * AC56 * AC56) * D56) / (AC56 * SQRT(D56))</f>
        <v>-0.10032617908682423</v>
      </c>
      <c r="AE56">
        <f>IF(AB56 &gt; 0.00001, MAX(0.001, AC56 - ((E56 * EXP(-B4 * D56) * _xlfn.NORM.S.DIST(-(AD56 - AC56 * SQRT(D56)), TRUE) - B3 * _xlfn.NORM.S.DIST(-AD56, TRUE)) - H56) / (B3 * SQRT(D56) * _xlfn.NORM.S.DIST(AD56, FALSE))), AC56)</f>
        <v>0.4051327784238602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NVDA_Put_IV_Solver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2026-08-13T02:21:54Z</dcterms:created>
  <dcterms:modified xsi:type="dcterms:W3CDTF">2026-08-13T02:21:54Z</dcterms:modified>
</cp:coreProperties>
</file>